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Ninjas\MS Excel Project\"/>
    </mc:Choice>
  </mc:AlternateContent>
  <xr:revisionPtr revIDLastSave="0" documentId="13_ncr:1_{C6655343-B7E9-47BF-86CC-C1219B8F98FB}" xr6:coauthVersionLast="47" xr6:coauthVersionMax="47" xr10:uidLastSave="{00000000-0000-0000-0000-000000000000}"/>
  <bookViews>
    <workbookView xWindow="-108" yWindow="-108" windowWidth="23256" windowHeight="12456" xr2:uid="{D63C3A2D-90AF-4047-90CC-43CACC13F3D0}"/>
  </bookViews>
  <sheets>
    <sheet name="All_India_Index_Upto_April23 (1" sheetId="1" r:id="rId1"/>
    <sheet name="P1 Analysis" sheetId="2" r:id="rId2"/>
    <sheet name="P2 Analysis" sheetId="3" r:id="rId3"/>
    <sheet name="P3 Analysis" sheetId="4" r:id="rId4"/>
    <sheet name="P4 Analysis" sheetId="5" r:id="rId5"/>
    <sheet name="P5 Analysis" sheetId="7" r:id="rId6"/>
  </sheets>
  <definedNames>
    <definedName name="_xlnm._FilterDatabase" localSheetId="0" hidden="1">'All_India_Index_Upto_April23 (1'!$J$375:$J$375</definedName>
    <definedName name="_xlnm._FilterDatabase" localSheetId="1" hidden="1">'P1 Analysis'!$A$3:$N$3</definedName>
  </definedNames>
  <calcPr calcId="191029"/>
  <pivotCaches>
    <pivotCache cacheId="1" r:id="rId7"/>
    <pivotCache cacheId="2" r:id="rId8"/>
    <pivotCache cacheId="3" r:id="rId9"/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5" l="1"/>
  <c r="E10" i="4"/>
  <c r="E7" i="3"/>
  <c r="H11" i="5"/>
  <c r="D21" i="5"/>
  <c r="D20" i="5"/>
  <c r="E53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E50" i="4"/>
  <c r="E47" i="4"/>
  <c r="E48" i="4"/>
  <c r="E33" i="4"/>
  <c r="E31" i="4"/>
  <c r="E16" i="4"/>
  <c r="E14" i="4"/>
  <c r="AJ8" i="7"/>
  <c r="AC8" i="7"/>
  <c r="U8" i="7"/>
  <c r="M8" i="7"/>
  <c r="F8" i="7"/>
  <c r="Q2" i="1"/>
  <c r="E52" i="4"/>
  <c r="E51" i="4"/>
  <c r="E49" i="4"/>
  <c r="E46" i="4"/>
  <c r="E45" i="4"/>
  <c r="E44" i="4"/>
  <c r="E43" i="4"/>
  <c r="E36" i="4"/>
  <c r="E35" i="4"/>
  <c r="E34" i="4"/>
  <c r="E32" i="4"/>
  <c r="E30" i="4"/>
  <c r="E29" i="4"/>
  <c r="E28" i="4"/>
  <c r="E27" i="4"/>
  <c r="E26" i="4"/>
  <c r="E53" i="5"/>
  <c r="D53" i="5"/>
  <c r="C53" i="5"/>
  <c r="E52" i="5"/>
  <c r="D52" i="5"/>
  <c r="C52" i="5"/>
  <c r="D38" i="5"/>
  <c r="D37" i="5"/>
  <c r="E37" i="5"/>
  <c r="E38" i="5"/>
  <c r="C37" i="5"/>
  <c r="C38" i="5"/>
  <c r="E21" i="5"/>
  <c r="E20" i="5"/>
  <c r="C21" i="5"/>
  <c r="AA367" i="1"/>
  <c r="AA366" i="1"/>
  <c r="AA365" i="1"/>
  <c r="AA331" i="1"/>
  <c r="AA330" i="1"/>
  <c r="AA329" i="1"/>
  <c r="AA295" i="1"/>
  <c r="AA294" i="1"/>
  <c r="AA293" i="1"/>
  <c r="AA259" i="1"/>
  <c r="AA258" i="1"/>
  <c r="AA257" i="1"/>
  <c r="AA226" i="1"/>
  <c r="AA225" i="1"/>
  <c r="AA224" i="1"/>
  <c r="AA190" i="1"/>
  <c r="AA189" i="1"/>
  <c r="AA188" i="1"/>
  <c r="AA154" i="1"/>
  <c r="AA153" i="1"/>
  <c r="AA152" i="1"/>
  <c r="E19" i="4"/>
  <c r="E18" i="4"/>
  <c r="E17" i="4"/>
  <c r="E15" i="4"/>
  <c r="E13" i="4"/>
  <c r="E12" i="4"/>
  <c r="E11" i="4"/>
  <c r="E9" i="4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E8" i="3"/>
  <c r="E9" i="3"/>
  <c r="E10" i="3"/>
  <c r="E11" i="3"/>
  <c r="E12" i="3"/>
  <c r="H46" i="5" l="1"/>
  <c r="G31" i="5"/>
  <c r="H31" i="5"/>
  <c r="G11" i="5"/>
  <c r="G46" i="5"/>
  <c r="I11" i="5"/>
  <c r="I46" i="5"/>
  <c r="I31" i="5"/>
</calcChain>
</file>

<file path=xl/sharedStrings.xml><?xml version="1.0" encoding="utf-8"?>
<sst xmlns="http://schemas.openxmlformats.org/spreadsheetml/2006/main" count="1953" uniqueCount="130">
  <si>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</si>
  <si>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</si>
  <si>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</si>
  <si>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</si>
  <si>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</si>
  <si>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</si>
  <si>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</si>
  <si>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</si>
  <si>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</si>
  <si>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</si>
  <si>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</si>
  <si>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</si>
  <si>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</si>
  <si>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</si>
  <si>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</si>
  <si>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</si>
  <si>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</si>
  <si>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</si>
  <si>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</si>
  <si>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</si>
  <si>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</si>
  <si>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</si>
  <si>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</si>
  <si>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</si>
  <si>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</si>
  <si>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</si>
  <si>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</si>
  <si>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</si>
  <si>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</si>
  <si>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</si>
  <si>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</si>
  <si>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</si>
  <si>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</si>
  <si>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</si>
  <si>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</si>
  <si>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</si>
  <si>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</si>
  <si>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</si>
  <si>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</si>
  <si>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</si>
  <si>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</si>
  <si>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</si>
  <si>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</si>
  <si>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</si>
  <si>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</si>
  <si>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</si>
  <si>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</si>
  <si>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</si>
  <si>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</si>
  <si>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Veg food</t>
  </si>
  <si>
    <t>Non-veg food</t>
  </si>
  <si>
    <t>Food</t>
  </si>
  <si>
    <t>Luxury</t>
  </si>
  <si>
    <t>Energy</t>
  </si>
  <si>
    <t>Misc</t>
  </si>
  <si>
    <t>Categories</t>
  </si>
  <si>
    <t>Broader Categories</t>
  </si>
  <si>
    <t>Grand Total</t>
  </si>
  <si>
    <t>Total</t>
  </si>
  <si>
    <t>Start</t>
  </si>
  <si>
    <t>Mar</t>
  </si>
  <si>
    <t>Healthcare</t>
  </si>
  <si>
    <t>Essential Services</t>
  </si>
  <si>
    <t>Essential services</t>
  </si>
  <si>
    <t>Before Avg</t>
  </si>
  <si>
    <t>After Avg</t>
  </si>
  <si>
    <t>Oil Price</t>
  </si>
  <si>
    <t>Inflation Rate</t>
  </si>
  <si>
    <t>Food(Sum Of All Food Categories)</t>
  </si>
  <si>
    <t xml:space="preserve">Sum of CPI May 2023 </t>
  </si>
  <si>
    <t>Sum of CPI May 2023 
(Urban Sector )</t>
  </si>
  <si>
    <t>Sum of CPI May 2023 
(Rural+Urban Sector )</t>
  </si>
  <si>
    <t>This indicates that food prices are the major driver of inflation.</t>
  </si>
  <si>
    <t>Contribution Of Broad Categories to CPI (May 2023)</t>
  </si>
  <si>
    <t>Other categories such as clothing, luxury, and non-veg food show moderate contributions, while transport and miscellaneous categories contribute relatively less.</t>
  </si>
  <si>
    <t>Additionally, the contribution is slightly higher in rural areas compared to urban areas, indicating a higher dependence on food consumption in rural regions.</t>
  </si>
  <si>
    <t>From the year-on-year analysis of CPI (Rural+Urban) for May from 2017 to 2023, it is observed that inflation shows an overall increasing trend.</t>
  </si>
  <si>
    <t>In contrast, 2019 shows relatively lower inflation (~3.0%), indicating a stable price environment during that period.</t>
  </si>
  <si>
    <t>Overall, the data highlights that inflation peaked after the COVID-19 period due to demand-supply imbalance and economic recovery.</t>
  </si>
  <si>
    <t>CPI index</t>
  </si>
  <si>
    <t>Inflation %</t>
  </si>
  <si>
    <t>CPI (Rural+Urban) and Year-on-Year Inflation- May (2017-2023)</t>
  </si>
  <si>
    <t>Impact of COVID-19 on CPI (Urban, Rural, Rural+Urban) Before vs After</t>
  </si>
  <si>
    <t>Increase in CPI (After vs Before) – Urban</t>
  </si>
  <si>
    <t>Increase in CPI (After vs Before) – Rural</t>
  </si>
  <si>
    <t>Increase in CPI (After vs Before) – Combined</t>
  </si>
  <si>
    <t>Before COVID Avg (2017-2019)</t>
  </si>
  <si>
    <t>After COVID Avg (2021-2023)</t>
  </si>
  <si>
    <t>Urban CPI Data</t>
  </si>
  <si>
    <t>Rural CPI Data</t>
  </si>
  <si>
    <t>Combined Region (Urban + Rural)</t>
  </si>
  <si>
    <t>Conclusion</t>
  </si>
  <si>
    <t>Correlation between Oil Prices and CPI (2021–2023)</t>
  </si>
  <si>
    <t xml:space="preserve">Combined CPI (Rural + Urban) vs Oil Price (Month-on-Month: Jan
2021 – May 2023)
</t>
  </si>
  <si>
    <t>Urban CPI vs Oil Price (Month-on-Month: Jan 2021 – May 2023)</t>
  </si>
  <si>
    <t>Food (Sum of all food categories)</t>
  </si>
  <si>
    <t>Food vs Oil Price (Month-on-Month: Jan 2021 – May 2023)</t>
  </si>
  <si>
    <t xml:space="preserve">Correlation </t>
  </si>
  <si>
    <t>There is a strong positive correlation (0.67) between imported crude oil prices and Transport &amp; Communication inflation. This indicates that Transport &amp; Communication shows the strongest change with fluctuations in imported crude oil prices during 2021–2023.</t>
  </si>
  <si>
    <t>Food Category</t>
  </si>
  <si>
    <t>Starting Month (JUNE 22)</t>
  </si>
  <si>
    <t>End Month(MAY 23)</t>
  </si>
  <si>
    <t>Absolute Inflation Rate</t>
  </si>
  <si>
    <t>Analysis of Food Inflation Trends and Category-wise Contribution (June 2022 – May 2023)</t>
  </si>
  <si>
    <t>Month-on-Month Food Inflation Trends – Rural Sector</t>
  </si>
  <si>
    <t>Category-wise Food Inflation Contribution – Rural Sector</t>
  </si>
  <si>
    <t>Month-on-Month Food Inflation Trends – Rural+Urban Sector</t>
  </si>
  <si>
    <t>Category-wise Food Inflation Contribution – Rural+Urban Sector</t>
  </si>
  <si>
    <t>Month-on-Month Food Inflation Trends – Urban Sector</t>
  </si>
  <si>
    <t>Category-wise Food Inflation Contribution – Urban Sector</t>
  </si>
  <si>
    <t>Food inflation showed significant fluctuations over the 12-month period, with
certain categories like oils &amp; fats and vegetables contributing the most. Overall,
food prices remained a key driver of inflation, especially impacting Rural Areas more.</t>
  </si>
  <si>
    <t xml:space="preserve"> </t>
  </si>
  <si>
    <r>
      <t xml:space="preserve">Contribution of Broad Categories to CPI – </t>
    </r>
    <r>
      <rPr>
        <b/>
        <sz val="14"/>
        <color theme="7" tint="0.39997558519241921"/>
        <rFont val="Calibri"/>
        <family val="2"/>
        <scheme val="minor"/>
      </rPr>
      <t>Rural (May 2023)</t>
    </r>
  </si>
  <si>
    <r>
      <t xml:space="preserve">Contribution of Broad Categories to CPI – </t>
    </r>
    <r>
      <rPr>
        <b/>
        <sz val="14"/>
        <color theme="7" tint="0.39997558519241921"/>
        <rFont val="Calibri"/>
        <family val="2"/>
        <scheme val="minor"/>
      </rPr>
      <t>Urban (May 2023)</t>
    </r>
  </si>
  <si>
    <r>
      <t xml:space="preserve">Contribution of Broad Categories to CPI – 
</t>
    </r>
    <r>
      <rPr>
        <b/>
        <sz val="14"/>
        <color theme="7" tint="0.39997558519241921"/>
        <rFont val="Calibri"/>
        <family val="2"/>
        <scheme val="minor"/>
      </rPr>
      <t>Rural + Urban (May 2023)</t>
    </r>
  </si>
  <si>
    <r>
      <t xml:space="preserve">CPI May 2023 
</t>
    </r>
    <r>
      <rPr>
        <b/>
        <sz val="11"/>
        <color theme="7" tint="0.39997558519241921"/>
        <rFont val="Calibri"/>
        <family val="2"/>
        <scheme val="minor"/>
      </rPr>
      <t>Rural Sector</t>
    </r>
  </si>
  <si>
    <r>
      <t xml:space="preserve">CPI May 2023 
</t>
    </r>
    <r>
      <rPr>
        <b/>
        <sz val="11"/>
        <color theme="7" tint="0.39997558519241921"/>
        <rFont val="Calibri"/>
        <family val="2"/>
        <scheme val="minor"/>
      </rPr>
      <t>Urban Sector</t>
    </r>
    <r>
      <rPr>
        <b/>
        <sz val="11"/>
        <color theme="7" tint="-0.249977111117893"/>
        <rFont val="Calibri"/>
        <family val="2"/>
        <scheme val="minor"/>
      </rPr>
      <t xml:space="preserve"> </t>
    </r>
  </si>
  <si>
    <r>
      <t xml:space="preserve">CPI May 2023 
</t>
    </r>
    <r>
      <rPr>
        <b/>
        <sz val="11"/>
        <color theme="7" tint="0.39997558519241921"/>
        <rFont val="Calibri"/>
        <family val="2"/>
        <scheme val="minor"/>
      </rPr>
      <t xml:space="preserve">Rural+Urban Sector </t>
    </r>
  </si>
  <si>
    <r>
      <rPr>
        <sz val="11"/>
        <color theme="7" tint="0.39997558519241921"/>
        <rFont val="Calibri"/>
        <family val="2"/>
        <scheme val="minor"/>
      </rPr>
      <t xml:space="preserve">Vegetable food </t>
    </r>
    <r>
      <rPr>
        <sz val="11"/>
        <color theme="1"/>
        <rFont val="Calibri"/>
        <family val="2"/>
        <scheme val="minor"/>
      </rPr>
      <t>category contributes the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theme="7" tint="0.39997558519241921"/>
        <rFont val="Calibri"/>
        <family val="2"/>
        <scheme val="minor"/>
      </rPr>
      <t>highest share (~30%)</t>
    </r>
    <r>
      <rPr>
        <sz val="11"/>
        <color theme="1"/>
        <rFont val="Calibri"/>
        <family val="2"/>
        <scheme val="minor"/>
      </rPr>
      <t xml:space="preserve"> to CPI in May 2023 across rural, urban, and combined sectors. This clearly indicates that food prices are the primary driver of inflation.</t>
    </r>
  </si>
  <si>
    <r>
      <t>The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theme="7" tint="0.39997558519241921"/>
        <rFont val="Calibri"/>
        <family val="2"/>
        <scheme val="minor"/>
      </rPr>
      <t>highest inflation is recorded in 2022 (~6.6%)</t>
    </r>
    <r>
      <rPr>
        <sz val="11"/>
        <color theme="1"/>
        <rFont val="Calibri"/>
        <family val="2"/>
        <scheme val="minor"/>
      </rPr>
      <t>, followed by 2020 (~6.0%) and 2021 (~5.9%). This spike can be attributed to post-COVID 
economic recovery, supply chain disruptions, and increased fuel and food prices.</t>
    </r>
  </si>
  <si>
    <r>
      <t>After COVID-19, CPI increased in both urban and rural areas. The</t>
    </r>
    <r>
      <rPr>
        <sz val="11"/>
        <color theme="7" tint="0.39997558519241921"/>
        <rFont val="Calibri"/>
        <family val="2"/>
        <scheme val="minor"/>
      </rPr>
      <t xml:space="preserve"> food category</t>
    </r>
    <r>
      <rPr>
        <sz val="11"/>
        <color theme="1"/>
        <rFont val="Calibri"/>
        <family val="2"/>
        <scheme val="minor"/>
      </rPr>
      <t xml:space="preserve"> showed the </t>
    </r>
    <r>
      <rPr>
        <sz val="11"/>
        <color theme="7" tint="0.39997558519241921"/>
        <rFont val="Calibri"/>
        <family val="2"/>
        <scheme val="minor"/>
      </rPr>
      <t xml:space="preserve">highest rise </t>
    </r>
    <r>
      <rPr>
        <sz val="11"/>
        <color theme="1"/>
        <rFont val="Calibri"/>
        <family val="2"/>
        <scheme val="minor"/>
      </rPr>
      <t>compared to healthcare and essential services. This indicates that the pandemic had 
a strong impact on food prices. Overall, inflation increased after COVID-19 across all regions.</t>
    </r>
  </si>
  <si>
    <t xml:space="preserve">Sum of CPI May 2023 
Rural+Urban Sector </t>
  </si>
  <si>
    <t>Values</t>
  </si>
  <si>
    <t xml:space="preserve">Sum of CPI May 2023 
Urban Sector </t>
  </si>
  <si>
    <t>Sum of CPI May 2023 Urban Sector</t>
  </si>
  <si>
    <t>Sum of CPI May 2023 Rural Sector</t>
  </si>
  <si>
    <r>
      <t xml:space="preserve">After combining all veg, non-veg food categories into single food category the </t>
    </r>
    <r>
      <rPr>
        <sz val="11"/>
        <color rgb="FFFFC000"/>
        <rFont val="Calibri"/>
        <family val="2"/>
        <scheme val="minor"/>
      </rPr>
      <t>food category contributes the highest share(~50%)</t>
    </r>
    <r>
      <rPr>
        <sz val="11"/>
        <color theme="1"/>
        <rFont val="Calibri"/>
        <family val="2"/>
        <scheme val="minor"/>
      </rPr>
      <t xml:space="preserve"> to CPI in May  2023  across rural, urban, and combined sectors. This clearly indicates that food prices are the primary driver of inflation.</t>
    </r>
  </si>
  <si>
    <t>Sect+AE7:AI36or</t>
  </si>
  <si>
    <t>Before Covid Avg</t>
  </si>
  <si>
    <t>After Covid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</si>
</sst>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rgb="FFFFC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 tint="0.24997711111789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78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0" xfId="0" pivotButton="1"/>
    <xf numFmtId="10" fontId="0" fillId="0" borderId="0" xfId="0" applyNumberFormat="1"/>
    <xf numFmtId="0" fontId="16" fillId="0" borderId="10" xfId="0" applyFont="1" applyBorder="1"/>
    <xf numFmtId="0" fontId="16" fillId="33" borderId="10" xfId="0" applyFont="1" applyFill="1" applyBorder="1"/>
    <xf numFmtId="0" fontId="0" fillId="33" borderId="10" xfId="0" applyFill="1" applyBorder="1"/>
    <xf numFmtId="0" fontId="16" fillId="0" borderId="11" xfId="0" applyFont="1" applyBorder="1"/>
    <xf numFmtId="0" fontId="0" fillId="0" borderId="11" xfId="0" applyBorder="1"/>
    <xf numFmtId="0" fontId="16" fillId="0" borderId="13" xfId="0" applyFont="1" applyBorder="1"/>
    <xf numFmtId="0" fontId="0" fillId="0" borderId="13" xfId="0" applyBorder="1"/>
    <xf numFmtId="9" fontId="0" fillId="0" borderId="0" xfId="42" applyFont="1" applyBorder="1"/>
    <xf numFmtId="0" fontId="21" fillId="0" borderId="0" xfId="0" applyFont="1"/>
    <xf numFmtId="0" fontId="16" fillId="0" borderId="10" xfId="0" applyFont="1" applyBorder="1" applyAlignment="1">
      <alignment wrapText="1"/>
    </xf>
    <xf numFmtId="0" fontId="24" fillId="0" borderId="0" xfId="0" applyFont="1" applyAlignment="1">
      <alignment horizontal="center" vertical="center" readingOrder="1"/>
    </xf>
    <xf numFmtId="164" fontId="0" fillId="0" borderId="0" xfId="0" applyNumberFormat="1"/>
    <xf numFmtId="164" fontId="0" fillId="0" borderId="13" xfId="42" applyNumberFormat="1" applyFont="1" applyBorder="1"/>
    <xf numFmtId="164" fontId="0" fillId="33" borderId="13" xfId="42" applyNumberFormat="1" applyFont="1" applyFill="1" applyBorder="1"/>
    <xf numFmtId="0" fontId="16" fillId="0" borderId="0" xfId="0" applyFont="1" applyAlignment="1">
      <alignment horizontal="center"/>
    </xf>
    <xf numFmtId="0" fontId="20" fillId="0" borderId="0" xfId="0" applyFont="1"/>
    <xf numFmtId="0" fontId="0" fillId="33" borderId="13" xfId="0" applyFill="1" applyBorder="1"/>
    <xf numFmtId="0" fontId="16" fillId="0" borderId="15" xfId="0" applyFont="1" applyBorder="1"/>
    <xf numFmtId="0" fontId="0" fillId="33" borderId="15" xfId="0" applyFill="1" applyBorder="1"/>
    <xf numFmtId="0" fontId="0" fillId="0" borderId="15" xfId="0" applyBorder="1"/>
    <xf numFmtId="0" fontId="16" fillId="0" borderId="12" xfId="0" applyFont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0" borderId="17" xfId="0" applyFont="1" applyBorder="1"/>
    <xf numFmtId="0" fontId="0" fillId="34" borderId="20" xfId="0" applyFill="1" applyBorder="1"/>
    <xf numFmtId="0" fontId="0" fillId="34" borderId="21" xfId="0" applyFill="1" applyBorder="1"/>
    <xf numFmtId="0" fontId="0" fillId="34" borderId="23" xfId="0" applyFill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6" fillId="0" borderId="25" xfId="0" applyFont="1" applyBorder="1"/>
    <xf numFmtId="0" fontId="16" fillId="0" borderId="26" xfId="0" applyFont="1" applyBorder="1"/>
    <xf numFmtId="0" fontId="0" fillId="0" borderId="26" xfId="0" applyBorder="1"/>
    <xf numFmtId="0" fontId="16" fillId="0" borderId="27" xfId="0" applyFont="1" applyBorder="1" applyAlignment="1">
      <alignment horizontal="center"/>
    </xf>
    <xf numFmtId="0" fontId="0" fillId="33" borderId="14" xfId="0" applyFill="1" applyBorder="1"/>
    <xf numFmtId="0" fontId="19" fillId="0" borderId="0" xfId="0" applyFont="1"/>
    <xf numFmtId="0" fontId="0" fillId="33" borderId="0" xfId="0" applyFill="1"/>
    <xf numFmtId="0" fontId="16" fillId="0" borderId="28" xfId="0" applyFont="1" applyBorder="1" applyAlignment="1">
      <alignment horizontal="center" wrapText="1"/>
    </xf>
    <xf numFmtId="0" fontId="0" fillId="33" borderId="28" xfId="0" applyFill="1" applyBorder="1" applyAlignment="1">
      <alignment horizontal="center"/>
    </xf>
    <xf numFmtId="0" fontId="0" fillId="0" borderId="29" xfId="0" applyBorder="1" applyAlignment="1">
      <alignment wrapTex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vertical="top"/>
    </xf>
    <xf numFmtId="9" fontId="16" fillId="0" borderId="0" xfId="42" applyFont="1" applyFill="1" applyBorder="1"/>
    <xf numFmtId="164" fontId="16" fillId="0" borderId="13" xfId="42" applyNumberFormat="1" applyFont="1" applyFill="1" applyBorder="1"/>
    <xf numFmtId="164" fontId="0" fillId="0" borderId="13" xfId="42" applyNumberFormat="1" applyFont="1" applyFill="1" applyBorder="1"/>
    <xf numFmtId="0" fontId="0" fillId="0" borderId="30" xfId="0" applyBorder="1"/>
    <xf numFmtId="0" fontId="0" fillId="35" borderId="11" xfId="0" applyFill="1" applyBorder="1"/>
    <xf numFmtId="0" fontId="0" fillId="35" borderId="13" xfId="0" applyFill="1" applyBorder="1"/>
    <xf numFmtId="165" fontId="0" fillId="0" borderId="13" xfId="0" applyNumberFormat="1" applyBorder="1"/>
    <xf numFmtId="165" fontId="0" fillId="35" borderId="13" xfId="0" applyNumberFormat="1" applyFill="1" applyBorder="1"/>
    <xf numFmtId="165" fontId="0" fillId="0" borderId="31" xfId="0" applyNumberFormat="1" applyBorder="1"/>
    <xf numFmtId="164" fontId="0" fillId="35" borderId="13" xfId="42" applyNumberFormat="1" applyFont="1" applyFill="1" applyBorder="1"/>
    <xf numFmtId="165" fontId="0" fillId="0" borderId="0" xfId="0" applyNumberFormat="1"/>
    <xf numFmtId="164" fontId="0" fillId="0" borderId="0" xfId="42" applyNumberFormat="1" applyFont="1" applyFill="1" applyBorder="1"/>
    <xf numFmtId="0" fontId="16" fillId="33" borderId="0" xfId="0" applyFont="1" applyFill="1"/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33" borderId="0" xfId="0" applyFont="1" applyFill="1"/>
    <xf numFmtId="0" fontId="2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25" fillId="0" borderId="0" xfId="0" applyFont="1" applyAlignment="1">
      <alignment horizontal="center"/>
    </xf>
    <xf numFmtId="0" fontId="19" fillId="0" borderId="0" xfId="0" applyFont="1"/>
    <xf numFmtId="0" fontId="25" fillId="35" borderId="0" xfId="0" applyFont="1" applyFill="1"/>
    <xf numFmtId="0" fontId="20" fillId="33" borderId="0" xfId="0" applyFont="1" applyFill="1"/>
    <xf numFmtId="0" fontId="26" fillId="0" borderId="0" xfId="0" applyFont="1" applyAlignment="1">
      <alignment horizontal="center"/>
    </xf>
    <xf numFmtId="0" fontId="16" fillId="0" borderId="0" xfId="0" applyFont="1"/>
    <xf numFmtId="0" fontId="20" fillId="0" borderId="0" xfId="0" applyFont="1"/>
    <xf numFmtId="0" fontId="16" fillId="0" borderId="0" xfId="0" applyFont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3" xr:uid="{52530A91-B96E-4E44-86BB-19C8EFB4CB21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(Submission File).xlsx]P1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'P1 Analysis'!$H$35:$H$36</c:f>
              <c:strCache>
                <c:ptCount val="1"/>
                <c:pt idx="0">
                  <c:v>Sum of CPI May 2023 Rural Sector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D2-4E1E-BB0D-D84FF6E98F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D2-4E1E-BB0D-D84FF6E98F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D2-4E1E-BB0D-D84FF6E98F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D2-4E1E-BB0D-D84FF6E98F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D2-4E1E-BB0D-D84FF6E98F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D2-4E1E-BB0D-D84FF6E98F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D2-4E1E-BB0D-D84FF6E98F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D2-4E1E-BB0D-D84FF6E98F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ED2-4E1E-BB0D-D84FF6E98F15}"/>
              </c:ext>
            </c:extLst>
          </c:dPt>
          <c:cat>
            <c:strRef>
              <c:f>'P1 Analysis'!$G$37:$G$46</c:f>
              <c:strCache>
                <c:ptCount val="9"/>
                <c:pt idx="0">
                  <c:v>Clothing</c:v>
                </c:pt>
                <c:pt idx="1">
                  <c:v>Education</c:v>
                </c:pt>
                <c:pt idx="2">
                  <c:v>Energy</c:v>
                </c:pt>
                <c:pt idx="3">
                  <c:v>Food</c:v>
                </c:pt>
                <c:pt idx="4">
                  <c:v>Health</c:v>
                </c:pt>
                <c:pt idx="5">
                  <c:v>Housing</c:v>
                </c:pt>
                <c:pt idx="6">
                  <c:v>Luxury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'P1 Analysis'!$H$37:$H$46</c:f>
              <c:numCache>
                <c:formatCode>0.00%</c:formatCode>
                <c:ptCount val="9"/>
                <c:pt idx="0">
                  <c:v>0.12667822530452563</c:v>
                </c:pt>
                <c:pt idx="1">
                  <c:v>4.0077353961056272E-2</c:v>
                </c:pt>
                <c:pt idx="2">
                  <c:v>4.0566373255090236E-2</c:v>
                </c:pt>
                <c:pt idx="3">
                  <c:v>0.50918022583800127</c:v>
                </c:pt>
                <c:pt idx="4">
                  <c:v>4.174446519071752E-2</c:v>
                </c:pt>
                <c:pt idx="5">
                  <c:v>3.9966213212412192E-2</c:v>
                </c:pt>
                <c:pt idx="6">
                  <c:v>0.12416644438516936</c:v>
                </c:pt>
                <c:pt idx="7">
                  <c:v>3.9899528763225736E-2</c:v>
                </c:pt>
                <c:pt idx="8">
                  <c:v>3.7721170089801713E-2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B-446A-8668-BF5DB2035027}"/>
            </c:ext>
          </c:extLst>
        </c:ser>
        <c:ser>
          <c:idx val="1"/>
          <c:order val="1"/>
          <c:tx>
            <c:strRef>
              <c:f>'P1 Analysis'!$I$35:$I$36</c:f>
              <c:strCache>
                <c:ptCount val="1"/>
                <c:pt idx="0">
                  <c:v>Sum of CPI May 2023 Urban Sector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ED2-4E1E-BB0D-D84FF6E98F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ED2-4E1E-BB0D-D84FF6E98F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ED2-4E1E-BB0D-D84FF6E98F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ED2-4E1E-BB0D-D84FF6E98F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ED2-4E1E-BB0D-D84FF6E98F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ED2-4E1E-BB0D-D84FF6E98F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ED2-4E1E-BB0D-D84FF6E98F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ED2-4E1E-BB0D-D84FF6E98F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ED2-4E1E-BB0D-D84FF6E98F15}"/>
              </c:ext>
            </c:extLst>
          </c:dPt>
          <c:cat>
            <c:strRef>
              <c:f>'P1 Analysis'!$G$37:$G$46</c:f>
              <c:strCache>
                <c:ptCount val="9"/>
                <c:pt idx="0">
                  <c:v>Clothing</c:v>
                </c:pt>
                <c:pt idx="1">
                  <c:v>Education</c:v>
                </c:pt>
                <c:pt idx="2">
                  <c:v>Energy</c:v>
                </c:pt>
                <c:pt idx="3">
                  <c:v>Food</c:v>
                </c:pt>
                <c:pt idx="4">
                  <c:v>Health</c:v>
                </c:pt>
                <c:pt idx="5">
                  <c:v>Housing</c:v>
                </c:pt>
                <c:pt idx="6">
                  <c:v>Luxury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'P1 Analysis'!$I$37:$I$46</c:f>
              <c:numCache>
                <c:formatCode>0.00%</c:formatCode>
                <c:ptCount val="9"/>
                <c:pt idx="0">
                  <c:v>0.1139218686030727</c:v>
                </c:pt>
                <c:pt idx="1">
                  <c:v>3.766510806093646E-2</c:v>
                </c:pt>
                <c:pt idx="2">
                  <c:v>3.9518196901463083E-2</c:v>
                </c:pt>
                <c:pt idx="3">
                  <c:v>0.50315671529229244</c:v>
                </c:pt>
                <c:pt idx="4">
                  <c:v>3.9259626365575645E-2</c:v>
                </c:pt>
                <c:pt idx="5">
                  <c:v>7.4489861880238747E-2</c:v>
                </c:pt>
                <c:pt idx="6">
                  <c:v>0.12045077463423044</c:v>
                </c:pt>
                <c:pt idx="7">
                  <c:v>3.6975586631903298E-2</c:v>
                </c:pt>
                <c:pt idx="8">
                  <c:v>3.4562261630287236E-2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B-446A-8668-BF5DB2035027}"/>
            </c:ext>
          </c:extLst>
        </c:ser>
        <c:ser>
          <c:idx val="2"/>
          <c:order val="2"/>
          <c:tx>
            <c:strRef>
              <c:f>'P1 Analysis'!$J$35:$J$36</c:f>
              <c:strCache>
                <c:ptCount val="1"/>
                <c:pt idx="0">
                  <c:v>Sum of CPI May 2023 
Rural+Urban Sector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ED2-4E1E-BB0D-D84FF6E98F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ED2-4E1E-BB0D-D84FF6E98F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ED2-4E1E-BB0D-D84FF6E98F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ED2-4E1E-BB0D-D84FF6E98F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ED2-4E1E-BB0D-D84FF6E98F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ED2-4E1E-BB0D-D84FF6E98F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ED2-4E1E-BB0D-D84FF6E98F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ED2-4E1E-BB0D-D84FF6E98F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ED2-4E1E-BB0D-D84FF6E98F15}"/>
              </c:ext>
            </c:extLst>
          </c:dPt>
          <c:cat>
            <c:strRef>
              <c:f>'P1 Analysis'!$G$37:$G$46</c:f>
              <c:strCache>
                <c:ptCount val="9"/>
                <c:pt idx="0">
                  <c:v>Clothing</c:v>
                </c:pt>
                <c:pt idx="1">
                  <c:v>Education</c:v>
                </c:pt>
                <c:pt idx="2">
                  <c:v>Energy</c:v>
                </c:pt>
                <c:pt idx="3">
                  <c:v>Food</c:v>
                </c:pt>
                <c:pt idx="4">
                  <c:v>Health</c:v>
                </c:pt>
                <c:pt idx="5">
                  <c:v>Housing</c:v>
                </c:pt>
                <c:pt idx="6">
                  <c:v>Luxury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'P1 Analysis'!$J$37:$J$46</c:f>
              <c:numCache>
                <c:formatCode>0.00%</c:formatCode>
                <c:ptCount val="9"/>
                <c:pt idx="0">
                  <c:v>0.11885527672739775</c:v>
                </c:pt>
                <c:pt idx="1">
                  <c:v>3.8050017188037126E-2</c:v>
                </c:pt>
                <c:pt idx="2">
                  <c:v>3.9274664833276046E-2</c:v>
                </c:pt>
                <c:pt idx="3">
                  <c:v>0.49563853557923693</c:v>
                </c:pt>
                <c:pt idx="4">
                  <c:v>3.9897731179099345E-2</c:v>
                </c:pt>
                <c:pt idx="5">
                  <c:v>7.5369542798212438E-2</c:v>
                </c:pt>
                <c:pt idx="6">
                  <c:v>0.11975764867652114</c:v>
                </c:pt>
                <c:pt idx="7">
                  <c:v>3.7749226538329322E-2</c:v>
                </c:pt>
                <c:pt idx="8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B-446A-8668-BF5DB203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</a:rPr>
              <a:t>Year-on-Year Inflation Trend (CPI Rural+Urban – May 2017 to 2023)</a:t>
            </a:r>
            <a:endParaRPr lang="en-IN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21596675415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'P2 Analysis'!$D$5</c:f>
              <c:strCache>
                <c:ptCount val="1"/>
                <c:pt idx="0">
                  <c:v>CPI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'P2 Analysis'!$A$6:$C$12</c15:sqref>
                  </c15:fullRef>
                  <c15:levelRef>
                    <c15:sqref>'P2 Analysis'!$B$6:$B$12</c15:sqref>
                  </c15:levelRef>
                </c:ext>
              </c:extLst>
              <c:f>'P2 Analysis'!$B$6:$B$12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'P2 Analysis'!$D$6:$D$12</c:f>
              <c:numCache>
                <c:formatCode>General</c:formatCode>
                <c:ptCount val="7"/>
                <c:pt idx="0">
                  <c:v>131.4</c:v>
                </c:pt>
                <c:pt idx="1">
                  <c:v>137.80000000000001</c:v>
                </c:pt>
                <c:pt idx="2">
                  <c:v>142</c:v>
                </c:pt>
                <c:pt idx="3">
                  <c:v>151</c:v>
                </c:pt>
                <c:pt idx="4">
                  <c:v>160.4</c:v>
                </c:pt>
                <c:pt idx="5">
                  <c:v>171.7</c:v>
                </c:pt>
                <c:pt idx="6">
                  <c:v>179.1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6-4BF9-B347-63600A24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259135"/>
        <c:axId val="1311258175"/>
      </c:barChart>
      <c:lineChart>
        <c:grouping val="standard"/>
        <c:varyColors val="0"/>
        <c:ser>
          <c:idx val="1"/>
          <c:order val="1"/>
          <c:tx>
            <c:strRef>
              <c:f>'P2 Analysis'!$E$5</c:f>
              <c:strCache>
                <c:ptCount val="1"/>
                <c:pt idx="0">
                  <c:v>Inflation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'P2 Analysis'!$A$6:$C$12</c15:sqref>
                  </c15:fullRef>
                  <c15:levelRef>
                    <c15:sqref>'P2 Analysis'!$B$6:$B$12</c15:sqref>
                  </c15:levelRef>
                </c:ext>
              </c:extLst>
              <c:f>'P2 Analysis'!$B$6:$B$12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'P2 Analysis'!$E$6:$E$12</c:f>
              <c:numCache>
                <c:formatCode>0.0%</c:formatCode>
                <c:ptCount val="7"/>
                <c:pt idx="1">
                  <c:v>4.6444121915820064E-2</c:v>
                </c:pt>
                <c:pt idx="2">
                  <c:v>2.9577464788732313E-2</c:v>
                </c:pt>
                <c:pt idx="3">
                  <c:v>5.9602649006622516E-2</c:v>
                </c:pt>
                <c:pt idx="4">
                  <c:v>5.8603491271820483E-2</c:v>
                </c:pt>
                <c:pt idx="5">
                  <c:v>6.5812463599301013E-2</c:v>
                </c:pt>
                <c:pt idx="6">
                  <c:v>4.1317699609156926E-2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6-4BF9-B347-63600A24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87120"/>
        <c:axId val="135789520"/>
      </c:lineChart>
      <c:catAx>
        <c:axId val="131125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58175"/>
        <c:crosses val="autoZero"/>
        <c:auto val="1"/>
        <c:lblAlgn val="ctr"/>
        <c:lblOffset val="100"/>
        <c:noMultiLvlLbl val="0"/>
      </c:catAx>
      <c:valAx>
        <c:axId val="131125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59135"/>
        <c:crosses val="autoZero"/>
        <c:crossBetween val="between"/>
      </c:valAx>
      <c:valAx>
        <c:axId val="135789520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7120"/>
        <c:crosses val="max"/>
        <c:crossBetween val="between"/>
      </c:valAx>
      <c:catAx>
        <c:axId val="1357871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57895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M-O-M</a:t>
            </a:r>
            <a:r>
              <a:rPr lang="en-US" sz="1100" b="1" baseline="0">
                <a:solidFill>
                  <a:schemeClr val="tx1"/>
                </a:solidFill>
              </a:rPr>
              <a:t> inflation rates of food category for Rural sector</a:t>
            </a:r>
            <a:r>
              <a:rPr lang="en-US" sz="1100" b="1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10443333902147681"/>
          <c:y val="3.9702233250620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61592300962382E-2"/>
          <c:y val="0.15518610421836229"/>
          <c:w val="0.87868285214348207"/>
          <c:h val="0.63487114358844099"/>
        </c:manualLayout>
      </c:layout>
      <c:lineChart>
        <c:grouping val="standard"/>
        <c:varyColors val="0"/>
        <c:ser>
          <c:idx val="1"/>
          <c:order val="0"/>
          <c:tx>
            <c:strRef>
              <c:f>'P3 Analysis'!$E$7</c:f>
              <c:strCache>
                <c:ptCount val="1"/>
                <c:pt idx="0">
                  <c:v>Inflation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 Analysis'!$C$8:$C$19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'P3 Analysis'!$E$8:$E$19</c:f>
              <c:numCache>
                <c:formatCode>0.0%</c:formatCode>
                <c:ptCount val="12"/>
                <c:pt idx="1">
                  <c:v>1.8645948945615175E-3</c:v>
                </c:pt>
                <c:pt idx="2">
                  <c:v>1.4628956467770758E-3</c:v>
                </c:pt>
                <c:pt idx="3">
                  <c:v>5.291471911103472E-3</c:v>
                </c:pt>
                <c:pt idx="4">
                  <c:v>7.3101335084262715E-3</c:v>
                </c:pt>
                <c:pt idx="5">
                  <c:v>1.3987848056999687E-3</c:v>
                </c:pt>
                <c:pt idx="6">
                  <c:v>4.6550436959289926E-3</c:v>
                </c:pt>
                <c:pt idx="7">
                  <c:v>2.6716888577436771E-3</c:v>
                </c:pt>
                <c:pt idx="8">
                  <c:v>7.7238822438983343E-3</c:v>
                </c:pt>
                <c:pt idx="9">
                  <c:v>4.4134522023287046E-5</c:v>
                </c:pt>
                <c:pt idx="10">
                  <c:v>3.6936065429600019E-3</c:v>
                </c:pt>
                <c:pt idx="11">
                  <c:v>7.2030383725502703E-3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2-4FC0-A01A-E56849653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812799"/>
        <c:axId val="889812319"/>
      </c:lineChart>
      <c:catAx>
        <c:axId val="88981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12319"/>
        <c:crosses val="autoZero"/>
        <c:auto val="1"/>
        <c:lblAlgn val="ctr"/>
        <c:lblOffset val="100"/>
        <c:noMultiLvlLbl val="0"/>
      </c:catAx>
      <c:valAx>
        <c:axId val="8898123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1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M-O-M</a:t>
            </a:r>
            <a:r>
              <a:rPr lang="en-US" b="1" baseline="0">
                <a:solidFill>
                  <a:schemeClr val="tx1"/>
                </a:solidFill>
              </a:rPr>
              <a:t> Inflation Rates Across Different Food Categotries in Rural sector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034626476615896"/>
          <c:y val="3.4893259595646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'P3 Analysis'!$P$7</c:f>
              <c:strCache>
                <c:ptCount val="1"/>
                <c:pt idx="0">
                  <c:v>Absolute 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 Analysis'!$M$8:$M$20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'P3 Analysis'!$P$8:$P$20</c:f>
              <c:numCache>
                <c:formatCode>0.0</c:formatCode>
                <c:ptCount val="13"/>
                <c:pt idx="0">
                  <c:v>0.11200923787528856</c:v>
                </c:pt>
                <c:pt idx="1">
                  <c:v>2.6950354609929023E-2</c:v>
                </c:pt>
                <c:pt idx="2">
                  <c:v>8.1871345029240102E-3</c:v>
                </c:pt>
                <c:pt idx="3">
                  <c:v>7.9064587973273884E-2</c:v>
                </c:pt>
                <c:pt idx="4">
                  <c:v>0.20080784766301202</c:v>
                </c:pt>
                <c:pt idx="5">
                  <c:v>1.8934911242603485E-2</c:v>
                </c:pt>
                <c:pt idx="6">
                  <c:v>0.12508406186953613</c:v>
                </c:pt>
                <c:pt idx="7">
                  <c:v>5.8890794739851406E-2</c:v>
                </c:pt>
                <c:pt idx="8">
                  <c:v>2.2969647251845866E-2</c:v>
                </c:pt>
                <c:pt idx="9">
                  <c:v>0.14524886877828053</c:v>
                </c:pt>
                <c:pt idx="10">
                  <c:v>2.5181869054280919E-2</c:v>
                </c:pt>
                <c:pt idx="11">
                  <c:v>4.8142333856619514E-2</c:v>
                </c:pt>
                <c:pt idx="12">
                  <c:v>2.4886877828054328E-2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8-45E7-901B-C1EE844F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122175"/>
        <c:axId val="1091121695"/>
      </c:barChart>
      <c:catAx>
        <c:axId val="109112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1695"/>
        <c:crosses val="autoZero"/>
        <c:auto val="1"/>
        <c:lblAlgn val="ctr"/>
        <c:lblOffset val="100"/>
        <c:noMultiLvlLbl val="0"/>
      </c:catAx>
      <c:valAx>
        <c:axId val="109112169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M-O-M</a:t>
            </a:r>
            <a:r>
              <a:rPr lang="en-US" sz="1100" b="1" baseline="0">
                <a:solidFill>
                  <a:schemeClr val="tx1"/>
                </a:solidFill>
              </a:rPr>
              <a:t> inflation rates of food category for Rural+Urban sector</a:t>
            </a:r>
            <a:r>
              <a:rPr lang="en-US" sz="1100" b="1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10443333902147681"/>
          <c:y val="3.9702233250620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61592300962382E-2"/>
          <c:y val="0.15518610421836229"/>
          <c:w val="0.87868285214348207"/>
          <c:h val="0.63487114358844099"/>
        </c:manualLayout>
      </c:layout>
      <c:lineChart>
        <c:grouping val="standard"/>
        <c:varyColors val="0"/>
        <c:ser>
          <c:idx val="1"/>
          <c:order val="0"/>
          <c:tx>
            <c:strRef>
              <c:f>'P3 Analysis'!$E$24</c:f>
              <c:strCache>
                <c:ptCount val="1"/>
                <c:pt idx="0">
                  <c:v>Inflation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 Analysis'!$C$25:$C$36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'P3 Analysis'!$E$25:$E$36</c:f>
              <c:numCache>
                <c:formatCode>0.0%</c:formatCode>
                <c:ptCount val="12"/>
                <c:pt idx="1">
                  <c:v>1.9414905352336807E-3</c:v>
                </c:pt>
                <c:pt idx="2">
                  <c:v>1.2779834302838404E-3</c:v>
                </c:pt>
                <c:pt idx="3">
                  <c:v>5.129554123372273E-3</c:v>
                </c:pt>
                <c:pt idx="4">
                  <c:v>7.1388151308057679E-3</c:v>
                </c:pt>
                <c:pt idx="5">
                  <c:v>-2.1769418321142457E-4</c:v>
                </c:pt>
                <c:pt idx="6">
                  <c:v>5.8684417973198259E-3</c:v>
                </c:pt>
                <c:pt idx="7">
                  <c:v>4.0563527718409419E-3</c:v>
                </c:pt>
                <c:pt idx="8">
                  <c:v>5.9672677811416393E-3</c:v>
                </c:pt>
                <c:pt idx="9">
                  <c:v>4.3875043875003974E-5</c:v>
                </c:pt>
                <c:pt idx="10">
                  <c:v>4.5422781271840249E-3</c:v>
                </c:pt>
                <c:pt idx="11">
                  <c:v>7.4992414062160159E-3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E-4733-B71C-BDD166AD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812799"/>
        <c:axId val="889812319"/>
      </c:lineChart>
      <c:catAx>
        <c:axId val="88981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12319"/>
        <c:crosses val="autoZero"/>
        <c:auto val="1"/>
        <c:lblAlgn val="ctr"/>
        <c:lblOffset val="100"/>
        <c:noMultiLvlLbl val="0"/>
      </c:catAx>
      <c:valAx>
        <c:axId val="88981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1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M-O-M Inflation Rates Across Different Food Categotries in Rural+Urban sector</a:t>
            </a:r>
          </a:p>
        </c:rich>
      </c:tx>
      <c:layout>
        <c:manualLayout>
          <c:xMode val="edge"/>
          <c:yMode val="edge"/>
          <c:x val="9.463876311322727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'P3 Analysis'!$P$24</c:f>
              <c:strCache>
                <c:ptCount val="1"/>
                <c:pt idx="0">
                  <c:v>Absolute 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 Analysis'!$M$25:$M$37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'P3 Analysis'!$P$25:$P$37</c:f>
              <c:numCache>
                <c:formatCode>0.0%</c:formatCode>
                <c:ptCount val="13"/>
                <c:pt idx="0">
                  <c:v>0.1206451612903225</c:v>
                </c:pt>
                <c:pt idx="1">
                  <c:v>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0.15380786460925835</c:v>
                </c:pt>
                <c:pt idx="5">
                  <c:v>1.4731879787860933E-2</c:v>
                </c:pt>
                <c:pt idx="6">
                  <c:v>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3.2757593805836809E-2</c:v>
                </c:pt>
                <c:pt idx="11">
                  <c:v>5.6008700380641561E-2</c:v>
                </c:pt>
                <c:pt idx="12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7-4DD5-B59F-6102E8D6E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122175"/>
        <c:axId val="1091121695"/>
      </c:barChart>
      <c:catAx>
        <c:axId val="109112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1695"/>
        <c:crosses val="autoZero"/>
        <c:auto val="1"/>
        <c:lblAlgn val="ctr"/>
        <c:lblOffset val="100"/>
        <c:noMultiLvlLbl val="0"/>
      </c:catAx>
      <c:valAx>
        <c:axId val="109112169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M-O-M inflation rates of food category for Urban sector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12232792375472755"/>
          <c:y val="2.7765406549028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642152662418755E-2"/>
          <c:y val="0.18301818724542371"/>
          <c:w val="0.87868285214348207"/>
          <c:h val="0.61201953922426366"/>
        </c:manualLayout>
      </c:layout>
      <c:lineChart>
        <c:grouping val="standard"/>
        <c:varyColors val="0"/>
        <c:ser>
          <c:idx val="0"/>
          <c:order val="0"/>
          <c:tx>
            <c:strRef>
              <c:f>'P3 Analysis'!$E$41</c:f>
              <c:strCache>
                <c:ptCount val="1"/>
                <c:pt idx="0">
                  <c:v>Inflation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 Analysis'!$C$42:$C$53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'P3 Analysis'!$E$42:$E$53</c:f>
              <c:numCache>
                <c:formatCode>0.0%</c:formatCode>
                <c:ptCount val="12"/>
                <c:pt idx="1">
                  <c:v>1.7891429568859789E-3</c:v>
                </c:pt>
                <c:pt idx="2">
                  <c:v>9.1555129267119036E-4</c:v>
                </c:pt>
                <c:pt idx="3">
                  <c:v>5.5064169268124663E-3</c:v>
                </c:pt>
                <c:pt idx="4">
                  <c:v>6.8466606381604829E-3</c:v>
                </c:pt>
                <c:pt idx="5">
                  <c:v>3.4134116833736995E-3</c:v>
                </c:pt>
                <c:pt idx="6">
                  <c:v>8.1017510236084875E-3</c:v>
                </c:pt>
                <c:pt idx="7">
                  <c:v>6.23322656047119E-3</c:v>
                </c:pt>
                <c:pt idx="8">
                  <c:v>3.039249739493077E-3</c:v>
                </c:pt>
                <c:pt idx="9">
                  <c:v>8.682816705751187E-5</c:v>
                </c:pt>
                <c:pt idx="10">
                  <c:v>6.1699098243949519E-3</c:v>
                </c:pt>
                <c:pt idx="11">
                  <c:v>7.4515010063807277E-3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A-4FB9-8DCE-972079CAE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427775"/>
        <c:axId val="896358879"/>
      </c:lineChart>
      <c:catAx>
        <c:axId val="7264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58879"/>
        <c:crosses val="autoZero"/>
        <c:auto val="1"/>
        <c:lblAlgn val="ctr"/>
        <c:lblOffset val="100"/>
        <c:noMultiLvlLbl val="0"/>
      </c:catAx>
      <c:valAx>
        <c:axId val="89635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M-O-M Inflation Rates Across Different Food Categotries inUrban sector</a:t>
            </a:r>
          </a:p>
        </c:rich>
      </c:tx>
      <c:layout>
        <c:manualLayout>
          <c:xMode val="edge"/>
          <c:yMode val="edge"/>
          <c:x val="9.463876311322727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682349568735062"/>
          <c:y val="0.17803039329089995"/>
          <c:w val="0.58989141706547943"/>
          <c:h val="0.721678282638133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'P3 Analysis'!$P$41</c:f>
              <c:strCache>
                <c:ptCount val="1"/>
                <c:pt idx="0">
                  <c:v>Absolute 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 Analysis'!$M$42:$M$54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'P3 Analysis'!$P$42:$P$54</c:f>
              <c:numCache>
                <c:formatCode>0.0%</c:formatCode>
                <c:ptCount val="13"/>
                <c:pt idx="0">
                  <c:v>9.8454493417286723E-2</c:v>
                </c:pt>
                <c:pt idx="1">
                  <c:v>1.8231540565177756E-2</c:v>
                </c:pt>
                <c:pt idx="2">
                  <c:v>2.207130730050921E-2</c:v>
                </c:pt>
                <c:pt idx="3">
                  <c:v>7.2463768115942032E-2</c:v>
                </c:pt>
                <c:pt idx="4">
                  <c:v>0.1472019464720194</c:v>
                </c:pt>
                <c:pt idx="5">
                  <c:v>9.670079635950039E-3</c:v>
                </c:pt>
                <c:pt idx="6">
                  <c:v>0.14324324324324325</c:v>
                </c:pt>
                <c:pt idx="7">
                  <c:v>7.5183719615602093E-2</c:v>
                </c:pt>
                <c:pt idx="8">
                  <c:v>2.2544283413848606E-2</c:v>
                </c:pt>
                <c:pt idx="9">
                  <c:v>0.13402548371873527</c:v>
                </c:pt>
                <c:pt idx="10">
                  <c:v>4.0988547317661307E-2</c:v>
                </c:pt>
                <c:pt idx="11">
                  <c:v>5.7663125948406564E-2</c:v>
                </c:pt>
                <c:pt idx="12">
                  <c:v>2.0753686510103675E-2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B-4303-9D5E-C8EDDBEF7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122175"/>
        <c:axId val="1091121695"/>
      </c:barChart>
      <c:catAx>
        <c:axId val="109112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1695"/>
        <c:crosses val="autoZero"/>
        <c:auto val="1"/>
        <c:lblAlgn val="ctr"/>
        <c:lblOffset val="100"/>
        <c:noMultiLvlLbl val="0"/>
      </c:catAx>
      <c:valAx>
        <c:axId val="109112169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Urban CPI Trend (2017-2023</a:t>
            </a:r>
            <a:r>
              <a:rPr lang="en-IN" sz="1400" b="1" i="0" u="none" strike="noStrike" baseline="0"/>
              <a:t>)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986877111582409"/>
          <c:y val="0.22158227669083003"/>
          <c:w val="0.84562628200886658"/>
          <c:h val="0.51621067000132836"/>
        </c:manualLayout>
      </c:layout>
      <c:lineChart>
        <c:grouping val="standard"/>
        <c:varyColors val="0"/>
        <c:ser>
          <c:idx val="1"/>
          <c:order val="1"/>
          <c:tx>
            <c:strRef>
              <c:f>'P4 Analysis'!$C$10</c:f>
              <c:strCache>
                <c:ptCount val="1"/>
                <c:pt idx="0">
                  <c:v>Healthcare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Analysis'!$A$11:$A$17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Analysis'!$C$11:$C$17</c:f>
              <c:numCache>
                <c:formatCode>General</c:formatCode>
                <c:ptCount val="7"/>
                <c:pt idx="0">
                  <c:v>123.1</c:v>
                </c:pt>
                <c:pt idx="1">
                  <c:v>130.5</c:v>
                </c:pt>
                <c:pt idx="2">
                  <c:v>139.19999999999999</c:v>
                </c:pt>
                <c:pt idx="3">
                  <c:v>145</c:v>
                </c:pt>
                <c:pt idx="4">
                  <c:v>156.9</c:v>
                </c:pt>
                <c:pt idx="5">
                  <c:v>168.2</c:v>
                </c:pt>
                <c:pt idx="6">
                  <c:v>180.8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F-4BFA-BAC4-364FCC466216}"/>
            </c:ext>
          </c:extLst>
        </c:ser>
        <c:ser>
          <c:idx val="2"/>
          <c:order val="2"/>
          <c:tx>
            <c:strRef>
              <c:f>'P4 Analysis'!$D$10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Analysis'!$A$11:$A$17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Analysis'!$D$11:$D$17</c:f>
              <c:numCache>
                <c:formatCode>General</c:formatCode>
                <c:ptCount val="7"/>
                <c:pt idx="0">
                  <c:v>1705.6999999999998</c:v>
                </c:pt>
                <c:pt idx="1">
                  <c:v>1715.5</c:v>
                </c:pt>
                <c:pt idx="2">
                  <c:v>1768.4</c:v>
                </c:pt>
                <c:pt idx="3">
                  <c:v>1898.5</c:v>
                </c:pt>
                <c:pt idx="4">
                  <c:v>2064.4999999999995</c:v>
                </c:pt>
                <c:pt idx="5">
                  <c:v>2196.3000000000002</c:v>
                </c:pt>
                <c:pt idx="6">
                  <c:v>2303.4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F-4BFA-BAC4-364FCC466216}"/>
            </c:ext>
          </c:extLst>
        </c:ser>
        <c:ser>
          <c:idx val="3"/>
          <c:order val="3"/>
          <c:tx>
            <c:strRef>
              <c:f>'P4 Analysis'!$E$10</c:f>
              <c:strCache>
                <c:ptCount val="1"/>
                <c:pt idx="0">
                  <c:v>Essential Services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Analysis'!$A$11:$A$17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Analysis'!$E$11:$E$17</c:f>
              <c:numCache>
                <c:formatCode>General</c:formatCode>
                <c:ptCount val="7"/>
                <c:pt idx="0">
                  <c:v>241.2</c:v>
                </c:pt>
                <c:pt idx="1">
                  <c:v>248.60000000000002</c:v>
                </c:pt>
                <c:pt idx="2">
                  <c:v>256.70000000000005</c:v>
                </c:pt>
                <c:pt idx="3">
                  <c:v>265.39999999999998</c:v>
                </c:pt>
                <c:pt idx="4">
                  <c:v>288.89999999999998</c:v>
                </c:pt>
                <c:pt idx="5">
                  <c:v>312.79999999999995</c:v>
                </c:pt>
                <c:pt idx="6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F-4BFA-BAC4-364FCC466216}"/>
            </c:ext>
          </c:extLst>
        </c:ser>
        <c:ser>
          <c:idx val="4"/>
          <c:order val="4"/>
          <c:tx>
            <c:strRef>
              <c:f>'P4 Analysis'!$F$10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'P4 Analysis'!$A$11:$A$17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Analysis'!$F$11:$F$17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F-4BFA-BAC4-364FCC46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492943"/>
        <c:axId val="13434766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'P4 Analysis'!$A$10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'P4 Analysis'!$A$11:$A$17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'P4 Analysis'!$A$11:$A$17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ADF-4BFA-BAC4-364FCC466216}"/>
                  </c:ext>
                </c:extLst>
              </c15:ser>
            </c15:filteredLineSeries>
          </c:ext>
        </c:extLst>
      </c:lineChart>
      <c:catAx>
        <c:axId val="134349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76623"/>
        <c:crosses val="autoZero"/>
        <c:auto val="1"/>
        <c:lblAlgn val="ctr"/>
        <c:lblOffset val="100"/>
        <c:noMultiLvlLbl val="0"/>
      </c:catAx>
      <c:valAx>
        <c:axId val="134347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9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066174103824189E-2"/>
          <c:y val="0.85000024352349268"/>
          <c:w val="0.94639400797039097"/>
          <c:h val="0.12525776961703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Rural CPI Trend (2017-2023)</a:t>
            </a:r>
            <a:r>
              <a:rPr lang="en-IN" sz="1400" b="0" i="0" u="none" strike="noStrike" baseline="0">
                <a:solidFill>
                  <a:schemeClr val="tx1"/>
                </a:solidFill>
              </a:rPr>
              <a:t> 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5092778448636645E-2"/>
          <c:y val="8.5998561270207025E-2"/>
          <c:w val="0.87753018372703417"/>
          <c:h val="0.7013402145975276"/>
        </c:manualLayout>
      </c:layout>
      <c:lineChart>
        <c:grouping val="standard"/>
        <c:varyColors val="0"/>
        <c:ser>
          <c:idx val="0"/>
          <c:order val="0"/>
          <c:tx>
            <c:strRef>
              <c:f>'P4 Analysis'!$C$28</c:f>
              <c:strCache>
                <c:ptCount val="1"/>
                <c:pt idx="0">
                  <c:v>Healthcare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Analysis'!$A$29:$A$35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Analysis'!$C$29:$C$35</c:f>
              <c:numCache>
                <c:formatCode>General</c:formatCode>
                <c:ptCount val="7"/>
                <c:pt idx="0">
                  <c:v>130.6</c:v>
                </c:pt>
                <c:pt idx="1">
                  <c:v>136.69999999999999</c:v>
                </c:pt>
                <c:pt idx="2">
                  <c:v>150.4</c:v>
                </c:pt>
                <c:pt idx="3">
                  <c:v>156.69999999999999</c:v>
                </c:pt>
                <c:pt idx="4">
                  <c:v>164.6</c:v>
                </c:pt>
                <c:pt idx="5">
                  <c:v>176</c:v>
                </c:pt>
                <c:pt idx="6">
                  <c:v>186.6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4-4477-AF43-9D6257329368}"/>
            </c:ext>
          </c:extLst>
        </c:ser>
        <c:ser>
          <c:idx val="1"/>
          <c:order val="1"/>
          <c:tx>
            <c:strRef>
              <c:f>'P4 Analysis'!$D$28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Analysis'!$A$29:$A$35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Analysis'!$D$29:$D$35</c:f>
              <c:numCache>
                <c:formatCode>General</c:formatCode>
                <c:ptCount val="7"/>
                <c:pt idx="0">
                  <c:v>1728.5000000000002</c:v>
                </c:pt>
                <c:pt idx="1">
                  <c:v>1781.9999999999998</c:v>
                </c:pt>
                <c:pt idx="2">
                  <c:v>1761.2000000000003</c:v>
                </c:pt>
                <c:pt idx="3">
                  <c:v>1894.5999999999997</c:v>
                </c:pt>
                <c:pt idx="4">
                  <c:v>2025.7</c:v>
                </c:pt>
                <c:pt idx="5">
                  <c:v>2179.1000000000004</c:v>
                </c:pt>
                <c:pt idx="6">
                  <c:v>2265.8000000000002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B4-4477-AF43-9D6257329368}"/>
            </c:ext>
          </c:extLst>
        </c:ser>
        <c:ser>
          <c:idx val="2"/>
          <c:order val="2"/>
          <c:tx>
            <c:strRef>
              <c:f>'P4 Analysis'!$E$28</c:f>
              <c:strCache>
                <c:ptCount val="1"/>
                <c:pt idx="0">
                  <c:v>Essential 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Analysis'!$A$29:$A$35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Analysis'!$E$29:$E$35</c:f>
              <c:numCache>
                <c:formatCode>General</c:formatCode>
                <c:ptCount val="7"/>
                <c:pt idx="0">
                  <c:v>253.89999999999998</c:v>
                </c:pt>
                <c:pt idx="1">
                  <c:v>264.5</c:v>
                </c:pt>
                <c:pt idx="2">
                  <c:v>279.89999999999998</c:v>
                </c:pt>
                <c:pt idx="3">
                  <c:v>287.3</c:v>
                </c:pt>
                <c:pt idx="4">
                  <c:v>306.10000000000002</c:v>
                </c:pt>
                <c:pt idx="5">
                  <c:v>328.5</c:v>
                </c:pt>
                <c:pt idx="6">
                  <c:v>347.6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4-4477-AF43-9D625732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276831"/>
        <c:axId val="1376273471"/>
      </c:lineChart>
      <c:catAx>
        <c:axId val="137627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73471"/>
        <c:crosses val="autoZero"/>
        <c:auto val="1"/>
        <c:lblAlgn val="ctr"/>
        <c:lblOffset val="100"/>
        <c:noMultiLvlLbl val="0"/>
      </c:catAx>
      <c:valAx>
        <c:axId val="137627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7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Combined CPI Trend (Rural + Urban)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623519216437342"/>
          <c:y val="0.15125767491438261"/>
          <c:w val="0.85844846746801307"/>
          <c:h val="0.55945410526034767"/>
        </c:manualLayout>
      </c:layout>
      <c:lineChart>
        <c:grouping val="standard"/>
        <c:varyColors val="0"/>
        <c:ser>
          <c:idx val="0"/>
          <c:order val="0"/>
          <c:tx>
            <c:strRef>
              <c:f>'P4 Analysis'!$C$43</c:f>
              <c:strCache>
                <c:ptCount val="1"/>
                <c:pt idx="0">
                  <c:v>Healthcare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Analysis'!$A$44:$A$50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Analysis'!$C$44:$C$50</c:f>
              <c:numCache>
                <c:formatCode>General</c:formatCode>
                <c:ptCount val="7"/>
                <c:pt idx="0">
                  <c:v>127.8</c:v>
                </c:pt>
                <c:pt idx="1">
                  <c:v>134.30000000000001</c:v>
                </c:pt>
                <c:pt idx="2">
                  <c:v>146.19999999999999</c:v>
                </c:pt>
                <c:pt idx="3">
                  <c:v>152.30000000000001</c:v>
                </c:pt>
                <c:pt idx="4">
                  <c:v>161.69999999999999</c:v>
                </c:pt>
                <c:pt idx="5">
                  <c:v>173</c:v>
                </c:pt>
                <c:pt idx="6">
                  <c:v>184.4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0-4089-866D-949976521E69}"/>
            </c:ext>
          </c:extLst>
        </c:ser>
        <c:ser>
          <c:idx val="1"/>
          <c:order val="1"/>
          <c:tx>
            <c:strRef>
              <c:f>'P4 Analysis'!$D$43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Analysis'!$A$44:$A$50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Analysis'!$D$44:$D$50</c:f>
              <c:numCache>
                <c:formatCode>General</c:formatCode>
                <c:ptCount val="7"/>
                <c:pt idx="0">
                  <c:v>1718.9</c:v>
                </c:pt>
                <c:pt idx="1">
                  <c:v>1756</c:v>
                </c:pt>
                <c:pt idx="2">
                  <c:v>1762.9</c:v>
                </c:pt>
                <c:pt idx="3">
                  <c:v>1895.4</c:v>
                </c:pt>
                <c:pt idx="4">
                  <c:v>2039.3999999999999</c:v>
                </c:pt>
                <c:pt idx="5">
                  <c:v>2184.2000000000003</c:v>
                </c:pt>
                <c:pt idx="6">
                  <c:v>2279.1999999999998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0-4089-866D-949976521E69}"/>
            </c:ext>
          </c:extLst>
        </c:ser>
        <c:ser>
          <c:idx val="2"/>
          <c:order val="2"/>
          <c:tx>
            <c:strRef>
              <c:f>'P4 Analysis'!$E$43</c:f>
              <c:strCache>
                <c:ptCount val="1"/>
                <c:pt idx="0">
                  <c:v>Essential 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'P4 Analysis'!$A$44:$A$50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'P4 Analysis'!$E$44:$E$50</c:f>
              <c:numCache>
                <c:formatCode>General</c:formatCode>
                <c:ptCount val="7"/>
                <c:pt idx="0">
                  <c:v>247.7</c:v>
                </c:pt>
                <c:pt idx="1">
                  <c:v>256.60000000000002</c:v>
                </c:pt>
                <c:pt idx="2">
                  <c:v>268.39999999999998</c:v>
                </c:pt>
                <c:pt idx="3">
                  <c:v>276.3</c:v>
                </c:pt>
                <c:pt idx="4">
                  <c:v>297.39999999999998</c:v>
                </c:pt>
                <c:pt idx="5">
                  <c:v>320.70000000000005</c:v>
                </c:pt>
                <c:pt idx="6">
                  <c:v>338.4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C0-4089-866D-949976521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481903"/>
        <c:axId val="1311482863"/>
      </c:lineChart>
      <c:catAx>
        <c:axId val="131148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82863"/>
        <c:crosses val="autoZero"/>
        <c:auto val="1"/>
        <c:lblAlgn val="ctr"/>
        <c:lblOffset val="100"/>
        <c:noMultiLvlLbl val="0"/>
      </c:catAx>
      <c:valAx>
        <c:axId val="131148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8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Change In CPI inflation</a:t>
            </a:r>
            <a:r>
              <a:rPr lang="en-IN" b="1" baseline="0"/>
              <a:t> After Covid-19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'P4 Analysis'!$C$43</c:f>
              <c:strCache>
                <c:ptCount val="1"/>
                <c:pt idx="0">
                  <c:v>Healthcare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'P4 Analysis'!$A$44:$B$53</c15:sqref>
                  </c15:fullRef>
                </c:ext>
              </c:extLst>
              <c:f>'P4 Analysis'!$A$52:$B$53</c:f>
              <c:multiLvlStrCache>
                <c:ptCount val="2"/>
                <c:lvl>
                  <c:pt idx="0">
                    <c:v>Before Covid Avg</c:v>
                  </c:pt>
                  <c:pt idx="1">
                    <c:v>After Covid Avg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'P4 Analysis'!$C$44:$C$53</c15:sqref>
                  </c15:fullRef>
                </c:ext>
              </c:extLst>
              <c:f>'P4 Analysis'!$C$52:$C$53</c:f>
              <c:numCache>
                <c:formatCode>General</c:formatCode>
                <c:ptCount val="2"/>
                <c:pt idx="0">
                  <c:v>136.1</c:v>
                </c:pt>
                <c:pt idx="1">
                  <c:v>173.03333333333333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8-4D89-8503-5AB4B26CB576}"/>
            </c:ext>
          </c:extLst>
        </c:ser>
        <c:ser>
          <c:idx val="1"/>
          <c:order val="1"/>
          <c:tx>
            <c:strRef>
              <c:f>'P4 Analysis'!$D$43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'P4 Analysis'!$A$44:$B$53</c15:sqref>
                  </c15:fullRef>
                </c:ext>
              </c:extLst>
              <c:f>'P4 Analysis'!$A$52:$B$53</c:f>
              <c:multiLvlStrCache>
                <c:ptCount val="2"/>
                <c:lvl>
                  <c:pt idx="0">
                    <c:v>Before Covid Avg</c:v>
                  </c:pt>
                  <c:pt idx="1">
                    <c:v>After Covid Avg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'P4 Analysis'!$D$44:$D$53</c15:sqref>
                  </c15:fullRef>
                </c:ext>
              </c:extLst>
              <c:f>'P4 Analysis'!$D$52:$D$53</c:f>
              <c:numCache>
                <c:formatCode>General</c:formatCode>
                <c:ptCount val="2"/>
                <c:pt idx="0">
                  <c:v>1745.9333333333334</c:v>
                </c:pt>
                <c:pt idx="1">
                  <c:v>2167.6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8-4D89-8503-5AB4B26CB576}"/>
            </c:ext>
          </c:extLst>
        </c:ser>
        <c:ser>
          <c:idx val="2"/>
          <c:order val="2"/>
          <c:tx>
            <c:strRef>
              <c:f>'P4 Analysis'!$E$43</c:f>
              <c:strCache>
                <c:ptCount val="1"/>
                <c:pt idx="0">
                  <c:v>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'P4 Analysis'!$A$44:$B$53</c15:sqref>
                  </c15:fullRef>
                </c:ext>
              </c:extLst>
              <c:f>'P4 Analysis'!$A$52:$B$53</c:f>
              <c:multiLvlStrCache>
                <c:ptCount val="2"/>
                <c:lvl>
                  <c:pt idx="0">
                    <c:v>Before Covid Avg</c:v>
                  </c:pt>
                  <c:pt idx="1">
                    <c:v>After Covid Avg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'P4 Analysis'!$E$44:$E$53</c15:sqref>
                  </c15:fullRef>
                </c:ext>
              </c:extLst>
              <c:f>'P4 Analysis'!$E$52:$E$53</c:f>
              <c:numCache>
                <c:formatCode>General</c:formatCode>
                <c:ptCount val="2"/>
                <c:pt idx="0">
                  <c:v>257.56666666666666</c:v>
                </c:pt>
                <c:pt idx="1">
                  <c:v>318.83333333333331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D8-4D89-8503-5AB4B26CB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198751"/>
        <c:axId val="1337547759"/>
      </c:barChart>
      <c:catAx>
        <c:axId val="13551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47759"/>
        <c:crosses val="autoZero"/>
        <c:auto val="1"/>
        <c:lblAlgn val="ctr"/>
        <c:lblOffset val="100"/>
        <c:noMultiLvlLbl val="0"/>
      </c:catAx>
      <c:valAx>
        <c:axId val="133754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Correlation Visual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'P5 Analysis'!$AH$7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'P5 Analysis'!$AE$8:$AG$36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  <c:lvl>
                  <c:pt idx="0">
                    <c:v>Rural+Urban</c:v>
                  </c:pt>
                  <c:pt idx="1">
                    <c:v>Rural+Urban</c:v>
                  </c:pt>
                  <c:pt idx="2">
                    <c:v>Rural+Urban</c:v>
                  </c:pt>
                  <c:pt idx="3">
                    <c:v>Rural+Urban</c:v>
                  </c:pt>
                  <c:pt idx="4">
                    <c:v>Rural+Urban</c:v>
                  </c:pt>
                  <c:pt idx="5">
                    <c:v>Rural+Urban</c:v>
                  </c:pt>
                  <c:pt idx="6">
                    <c:v>Rural+Urban</c:v>
                  </c:pt>
                  <c:pt idx="7">
                    <c:v>Rural+Urban</c:v>
                  </c:pt>
                  <c:pt idx="8">
                    <c:v>Rural+Urban</c:v>
                  </c:pt>
                  <c:pt idx="9">
                    <c:v>Rural+Urban</c:v>
                  </c:pt>
                  <c:pt idx="10">
                    <c:v>Rural+Urban</c:v>
                  </c:pt>
                  <c:pt idx="11">
                    <c:v>Rural+Urban</c:v>
                  </c:pt>
                  <c:pt idx="12">
                    <c:v>Rural+Urban</c:v>
                  </c:pt>
                  <c:pt idx="13">
                    <c:v>Rural+Urban</c:v>
                  </c:pt>
                  <c:pt idx="14">
                    <c:v>Rural+Urban</c:v>
                  </c:pt>
                  <c:pt idx="15">
                    <c:v>Rural+Urban</c:v>
                  </c:pt>
                  <c:pt idx="16">
                    <c:v>Rural+Urban</c:v>
                  </c:pt>
                  <c:pt idx="17">
                    <c:v>Rural+Urban</c:v>
                  </c:pt>
                  <c:pt idx="18">
                    <c:v>Rural+Urban</c:v>
                  </c:pt>
                  <c:pt idx="19">
                    <c:v>Rural+Urban</c:v>
                  </c:pt>
                  <c:pt idx="20">
                    <c:v>Rural+Urban</c:v>
                  </c:pt>
                  <c:pt idx="21">
                    <c:v>Rural+Urban</c:v>
                  </c:pt>
                  <c:pt idx="22">
                    <c:v>Rural+Urban</c:v>
                  </c:pt>
                  <c:pt idx="23">
                    <c:v>Rural+Urban</c:v>
                  </c:pt>
                  <c:pt idx="24">
                    <c:v>Rural+Urban</c:v>
                  </c:pt>
                  <c:pt idx="25">
                    <c:v>Rural+Urban</c:v>
                  </c:pt>
                  <c:pt idx="26">
                    <c:v>Rural+Urban</c:v>
                  </c:pt>
                  <c:pt idx="27">
                    <c:v>Rural+Urban</c:v>
                  </c:pt>
                  <c:pt idx="28">
                    <c:v>Rural+Urban</c:v>
                  </c:pt>
                </c:lvl>
              </c:multiLvlStrCache>
            </c:multiLvlStrRef>
          </c:xVal>
          <c:yVal>
            <c:numRef>
              <c:f>'P5 Analysis'!$AH$8:$AH$36</c:f>
              <c:numCache>
                <c:formatCode>General</c:formatCode>
                <c:ptCount val="29"/>
                <c:pt idx="0">
                  <c:v>141.9</c:v>
                </c:pt>
                <c:pt idx="1">
                  <c:v>145.1</c:v>
                </c:pt>
                <c:pt idx="2">
                  <c:v>146.19999999999999</c:v>
                </c:pt>
                <c:pt idx="3">
                  <c:v>146.6</c:v>
                </c:pt>
                <c:pt idx="4">
                  <c:v>148.9</c:v>
                </c:pt>
                <c:pt idx="5">
                  <c:v>150.69999999999999</c:v>
                </c:pt>
                <c:pt idx="6">
                  <c:v>153.1</c:v>
                </c:pt>
                <c:pt idx="7">
                  <c:v>154</c:v>
                </c:pt>
                <c:pt idx="8">
                  <c:v>154</c:v>
                </c:pt>
                <c:pt idx="9">
                  <c:v>155.69999999999999</c:v>
                </c:pt>
                <c:pt idx="10">
                  <c:v>154.80000000000001</c:v>
                </c:pt>
                <c:pt idx="11">
                  <c:v>155.69999999999999</c:v>
                </c:pt>
                <c:pt idx="12">
                  <c:v>156.5</c:v>
                </c:pt>
                <c:pt idx="13">
                  <c:v>156.9</c:v>
                </c:pt>
                <c:pt idx="14">
                  <c:v>157.9</c:v>
                </c:pt>
                <c:pt idx="15">
                  <c:v>162.6</c:v>
                </c:pt>
                <c:pt idx="16">
                  <c:v>163</c:v>
                </c:pt>
                <c:pt idx="17">
                  <c:v>161.1</c:v>
                </c:pt>
                <c:pt idx="18">
                  <c:v>161.6</c:v>
                </c:pt>
                <c:pt idx="19">
                  <c:v>161.9</c:v>
                </c:pt>
                <c:pt idx="20">
                  <c:v>162.30000000000001</c:v>
                </c:pt>
                <c:pt idx="21">
                  <c:v>162.9</c:v>
                </c:pt>
                <c:pt idx="22">
                  <c:v>163</c:v>
                </c:pt>
                <c:pt idx="23">
                  <c:v>163.4</c:v>
                </c:pt>
                <c:pt idx="24">
                  <c:v>163.6</c:v>
                </c:pt>
                <c:pt idx="25">
                  <c:v>164.2</c:v>
                </c:pt>
                <c:pt idx="26">
                  <c:v>164.2</c:v>
                </c:pt>
                <c:pt idx="27">
                  <c:v>164.5</c:v>
                </c:pt>
                <c:pt idx="28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7-4F05-ABC6-D2D269A7CD5E}"/>
            </c:ext>
          </c:extLst>
        </c:ser>
        <c:ser>
          <c:idx val="1"/>
          <c:order val="1"/>
          <c:tx>
            <c:strRef>
              <c:f>'P5 Analysis'!$AI$7</c:f>
              <c:strCache>
                <c:ptCount val="1"/>
                <c:pt idx="0">
                  <c:v>Oil 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'P5 Analysis'!$AE$8:$AG$36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  <c:lvl>
                  <c:pt idx="0">
                    <c:v>Rural+Urban</c:v>
                  </c:pt>
                  <c:pt idx="1">
                    <c:v>Rural+Urban</c:v>
                  </c:pt>
                  <c:pt idx="2">
                    <c:v>Rural+Urban</c:v>
                  </c:pt>
                  <c:pt idx="3">
                    <c:v>Rural+Urban</c:v>
                  </c:pt>
                  <c:pt idx="4">
                    <c:v>Rural+Urban</c:v>
                  </c:pt>
                  <c:pt idx="5">
                    <c:v>Rural+Urban</c:v>
                  </c:pt>
                  <c:pt idx="6">
                    <c:v>Rural+Urban</c:v>
                  </c:pt>
                  <c:pt idx="7">
                    <c:v>Rural+Urban</c:v>
                  </c:pt>
                  <c:pt idx="8">
                    <c:v>Rural+Urban</c:v>
                  </c:pt>
                  <c:pt idx="9">
                    <c:v>Rural+Urban</c:v>
                  </c:pt>
                  <c:pt idx="10">
                    <c:v>Rural+Urban</c:v>
                  </c:pt>
                  <c:pt idx="11">
                    <c:v>Rural+Urban</c:v>
                  </c:pt>
                  <c:pt idx="12">
                    <c:v>Rural+Urban</c:v>
                  </c:pt>
                  <c:pt idx="13">
                    <c:v>Rural+Urban</c:v>
                  </c:pt>
                  <c:pt idx="14">
                    <c:v>Rural+Urban</c:v>
                  </c:pt>
                  <c:pt idx="15">
                    <c:v>Rural+Urban</c:v>
                  </c:pt>
                  <c:pt idx="16">
                    <c:v>Rural+Urban</c:v>
                  </c:pt>
                  <c:pt idx="17">
                    <c:v>Rural+Urban</c:v>
                  </c:pt>
                  <c:pt idx="18">
                    <c:v>Rural+Urban</c:v>
                  </c:pt>
                  <c:pt idx="19">
                    <c:v>Rural+Urban</c:v>
                  </c:pt>
                  <c:pt idx="20">
                    <c:v>Rural+Urban</c:v>
                  </c:pt>
                  <c:pt idx="21">
                    <c:v>Rural+Urban</c:v>
                  </c:pt>
                  <c:pt idx="22">
                    <c:v>Rural+Urban</c:v>
                  </c:pt>
                  <c:pt idx="23">
                    <c:v>Rural+Urban</c:v>
                  </c:pt>
                  <c:pt idx="24">
                    <c:v>Rural+Urban</c:v>
                  </c:pt>
                  <c:pt idx="25">
                    <c:v>Rural+Urban</c:v>
                  </c:pt>
                  <c:pt idx="26">
                    <c:v>Rural+Urban</c:v>
                  </c:pt>
                  <c:pt idx="27">
                    <c:v>Rural+Urban</c:v>
                  </c:pt>
                  <c:pt idx="28">
                    <c:v>Rural+Urban</c:v>
                  </c:pt>
                </c:lvl>
              </c:multiLvlStrCache>
            </c:multiLvlStrRef>
          </c:xVal>
          <c:yVal>
            <c:numRef>
              <c:f>'P5 Analysis'!$AI$8:$AI$36</c:f>
              <c:numCache>
                <c:formatCode>General</c:formatCode>
                <c:ptCount val="29"/>
                <c:pt idx="0">
                  <c:v>54.794569624999994</c:v>
                </c:pt>
                <c:pt idx="1">
                  <c:v>61.216117289473672</c:v>
                </c:pt>
                <c:pt idx="2">
                  <c:v>64.729496782608663</c:v>
                </c:pt>
                <c:pt idx="3">
                  <c:v>63.396976500000008</c:v>
                </c:pt>
                <c:pt idx="4">
                  <c:v>66.953084852941174</c:v>
                </c:pt>
                <c:pt idx="5">
                  <c:v>71.982647477272721</c:v>
                </c:pt>
                <c:pt idx="6">
                  <c:v>73.539060523809511</c:v>
                </c:pt>
                <c:pt idx="7">
                  <c:v>69.804724424999989</c:v>
                </c:pt>
                <c:pt idx="8">
                  <c:v>73.130738295454549</c:v>
                </c:pt>
                <c:pt idx="9">
                  <c:v>82.107393785714294</c:v>
                </c:pt>
                <c:pt idx="10">
                  <c:v>80.637301023809528</c:v>
                </c:pt>
                <c:pt idx="11">
                  <c:v>73.298823523809531</c:v>
                </c:pt>
                <c:pt idx="12">
                  <c:v>84.666318799999985</c:v>
                </c:pt>
                <c:pt idx="13">
                  <c:v>94.067715194444446</c:v>
                </c:pt>
                <c:pt idx="14">
                  <c:v>112.87479254347826</c:v>
                </c:pt>
                <c:pt idx="15">
                  <c:v>102.96599786842103</c:v>
                </c:pt>
                <c:pt idx="16">
                  <c:v>109.50503773684208</c:v>
                </c:pt>
                <c:pt idx="17">
                  <c:v>116.01138504999999</c:v>
                </c:pt>
                <c:pt idx="18">
                  <c:v>105.49124737500001</c:v>
                </c:pt>
                <c:pt idx="19">
                  <c:v>97.404465428571427</c:v>
                </c:pt>
                <c:pt idx="20">
                  <c:v>90.706344809523813</c:v>
                </c:pt>
                <c:pt idx="21">
                  <c:v>91.698948700000003</c:v>
                </c:pt>
                <c:pt idx="22">
                  <c:v>87.552266068181822</c:v>
                </c:pt>
                <c:pt idx="23">
                  <c:v>78.100942275000008</c:v>
                </c:pt>
                <c:pt idx="24">
                  <c:v>80.922269684210534</c:v>
                </c:pt>
                <c:pt idx="25">
                  <c:v>82.278706675000009</c:v>
                </c:pt>
                <c:pt idx="26">
                  <c:v>78.539480282608693</c:v>
                </c:pt>
                <c:pt idx="27">
                  <c:v>83.755358416666667</c:v>
                </c:pt>
                <c:pt idx="28">
                  <c:v>74.981547824999993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7-4F05-ABC6-D2D269A7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230767"/>
        <c:axId val="1337589039"/>
      </c:scatterChart>
      <c:valAx>
        <c:axId val="135523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89039"/>
        <c:crosses val="autoZero"/>
        <c:crossBetween val="midCat"/>
      </c:valAx>
      <c:valAx>
        <c:axId val="133758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230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28</xdr:row>
      <xdr:rowOff>149795</xdr:rowOff>
    </xdr:from>
    <xdr:to>
      <xdr:col>14</xdr:col>
      <xdr:colOff>2754923</xdr:colOff>
      <xdr:row>50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E2D6-C5A3-339D-DF81-5562EDE3F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2</xdr:row>
      <xdr:rowOff>7620</xdr:rowOff>
    </xdr:from>
    <xdr:to>
      <xdr:col>13</xdr:col>
      <xdr:colOff>434340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A77F8-5664-6FCE-00E0-9E7FBB559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361951</xdr:colOff>
      <xdr:row>6</xdr:row>
      <xdr:rowOff>11429</xdr:rowOff>
    </xdr:from>
    <xdr:to>
      <xdr:col>10</xdr:col>
      <xdr:colOff>676276</xdr:colOff>
      <xdr:row>19</xdr:row>
      <xdr:rowOff>60959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221BC-DF92-4D2E-B91D-5E8B48B44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6</xdr:row>
      <xdr:rowOff>0</xdr:rowOff>
    </xdr:from>
    <xdr:to>
      <xdr:col>21</xdr:col>
      <xdr:colOff>707558</xdr:colOff>
      <xdr:row>22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24984-E481-46EA-A088-AC9D670DB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23</xdr:row>
      <xdr:rowOff>9525</xdr:rowOff>
    </xdr:from>
    <xdr:to>
      <xdr:col>10</xdr:col>
      <xdr:colOff>662940</xdr:colOff>
      <xdr:row>35</xdr:row>
      <xdr:rowOff>131445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C46BCB-4D66-4720-A264-4E05C3B34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129539</xdr:colOff>
      <xdr:row>23</xdr:row>
      <xdr:rowOff>11430</xdr:rowOff>
    </xdr:from>
    <xdr:to>
      <xdr:col>22</xdr:col>
      <xdr:colOff>209724</xdr:colOff>
      <xdr:row>40</xdr:row>
      <xdr:rowOff>139817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88F5D5-67EE-41C3-BA41-68C24D7EB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362397</xdr:colOff>
      <xdr:row>40</xdr:row>
      <xdr:rowOff>16698</xdr:rowOff>
    </xdr:from>
    <xdr:to>
      <xdr:col>10</xdr:col>
      <xdr:colOff>726476</xdr:colOff>
      <xdr:row>53</xdr:row>
      <xdr:rowOff>44824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91013D-9181-4BFC-BB6C-02AED619B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158624</xdr:colOff>
      <xdr:row>41</xdr:row>
      <xdr:rowOff>103991</xdr:rowOff>
    </xdr:from>
    <xdr:to>
      <xdr:col>21</xdr:col>
      <xdr:colOff>782362</xdr:colOff>
      <xdr:row>57</xdr:row>
      <xdr:rowOff>2982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23C337-17CB-46F5-A997-91016738A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245604</xdr:colOff>
      <xdr:row>11</xdr:row>
      <xdr:rowOff>77820</xdr:rowOff>
    </xdr:from>
    <xdr:to>
      <xdr:col>7</xdr:col>
      <xdr:colOff>2104417</xdr:colOff>
      <xdr:row>22</xdr:row>
      <xdr:rowOff>116731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1A709B-7A48-D868-EA8F-979D5DBA8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2120471</xdr:colOff>
      <xdr:row>11</xdr:row>
      <xdr:rowOff>71720</xdr:rowOff>
    </xdr:from>
    <xdr:to>
      <xdr:col>13</xdr:col>
      <xdr:colOff>116540</xdr:colOff>
      <xdr:row>22</xdr:row>
      <xdr:rowOff>116541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D10957-6AA0-6D45-BFD2-6F368B373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141195</xdr:colOff>
      <xdr:row>11</xdr:row>
      <xdr:rowOff>75081</xdr:rowOff>
    </xdr:from>
    <xdr:to>
      <xdr:col>19</xdr:col>
      <xdr:colOff>439271</xdr:colOff>
      <xdr:row>22</xdr:row>
      <xdr:rowOff>125506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0CF469-985A-48EE-23A4-BC9F7D179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31422</xdr:colOff>
      <xdr:row>35</xdr:row>
      <xdr:rowOff>94269</xdr:rowOff>
    </xdr:from>
    <xdr:to>
      <xdr:col>18</xdr:col>
      <xdr:colOff>55307</xdr:colOff>
      <xdr:row>53</xdr:row>
      <xdr:rowOff>13520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DB63BC-5D03-A10C-78E6-891C7B3F0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607621</xdr:colOff>
      <xdr:row>19</xdr:row>
      <xdr:rowOff>20781</xdr:rowOff>
    </xdr:from>
    <xdr:to>
      <xdr:col>43</xdr:col>
      <xdr:colOff>302821</xdr:colOff>
      <xdr:row>33</xdr:row>
      <xdr:rowOff>173181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F4BFB-4B5E-CCE0-28CB-088D0FFA1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Panjla" refreshedDate="46100.757180092594" createdVersion="8" refreshedVersion="8" minRefreshableVersion="3" recordCount="26" xr:uid="{0CEDC875-F179-4B11-BC12-FB38486B3CA0}">
  <cacheSource type="worksheet">
    <worksheetSource ref="B3:E29" sheet="P1 Analysis"/>
  </cacheSource>
  <cacheFields count="4">
    <cacheField name="Broader Categories" numFmtId="0">
      <sharedItems count="11">
        <s v="Veg food"/>
        <s v="Non-veg food"/>
        <s v="Food"/>
        <s v="Luxury"/>
        <s v="Clothing"/>
        <s v="Housing"/>
        <s v="Energy"/>
        <s v="Health"/>
        <s v="Transport and communication"/>
        <s v="Education"/>
        <s v="Misc"/>
      </sharedItems>
    </cacheField>
    <cacheField name="CPI May 2023 _x000a_(Rural Sector)" numFmtId="0">
      <sharedItems containsMixedTypes="1" containsNumber="1" minValue="121.9" maxValue="221" count="26">
        <n v="173.2"/>
        <n v="211.5"/>
        <n v="171"/>
        <n v="179.6"/>
        <n v="173.3"/>
        <n v="169"/>
        <n v="148.69999999999999"/>
        <n v="174.9"/>
        <n v="121.9"/>
        <n v="221"/>
        <n v="178.7"/>
        <n v="191.1"/>
        <n v="176.8"/>
        <n v="199.9"/>
        <n v="191.2"/>
        <n v="187.9"/>
        <n v="190.8"/>
        <s v="-"/>
        <n v="182.5"/>
        <n v="179.8"/>
        <n v="187.8"/>
        <n v="169.7"/>
        <n v="173.8"/>
        <n v="180.3"/>
        <n v="184.9"/>
        <n v="179.5"/>
      </sharedItems>
    </cacheField>
    <cacheField name="CPI May 2023 _x000a_(Urban Sector )" numFmtId="0">
      <sharedItems containsSemiMixedTypes="0" containsString="0" containsNumber="1" minValue="124.2" maxValue="219.4" count="26">
        <n v="174.7"/>
        <n v="219.4"/>
        <n v="176.7"/>
        <n v="179.4"/>
        <n v="164.4"/>
        <n v="175.8"/>
        <n v="185"/>
        <n v="176.9"/>
        <n v="124.2"/>
        <n v="211.9"/>
        <n v="165.9"/>
        <n v="197.7"/>
        <n v="183.1"/>
        <n v="204.2"/>
        <n v="181.3"/>
        <n v="168.1"/>
        <n v="179.3"/>
        <n v="175.6"/>
        <n v="183.4"/>
        <n v="170.1"/>
        <n v="182.2"/>
        <n v="160.4"/>
        <n v="169.2"/>
        <n v="174.8"/>
        <n v="185.6"/>
        <n v="171.6"/>
      </sharedItems>
    </cacheField>
    <cacheField name="CPI May 2023 _x000a_(Rural+Urban Sector )" numFmtId="0">
      <sharedItems containsSemiMixedTypes="0" containsString="0" containsNumber="1" minValue="122.7" maxValue="218" count="25">
        <n v="173.7"/>
        <n v="214.3"/>
        <n v="173.2"/>
        <n v="179.5"/>
        <n v="170"/>
        <n v="172.2"/>
        <n v="161"/>
        <n v="175.6"/>
        <n v="122.7"/>
        <n v="218"/>
        <n v="173.4"/>
        <n v="194.2"/>
        <n v="179.1"/>
        <n v="201"/>
        <n v="187.3"/>
        <n v="179.7"/>
        <n v="186.2"/>
        <n v="182.8"/>
        <n v="175.2"/>
        <n v="185.7"/>
        <n v="164.8"/>
        <n v="171.2"/>
        <n v="177.1"/>
        <n v="185.2"/>
        <n v="175.7"/>
      </sharedItems>
    </cacheField>
  </cacheFields>
  <extLst>
    <ext xmlns:x14="http://schemas.microsoft.com/office/spreadsheetml/2009/9/main" uri="{725AE2AE-9491-48be-B2B4-4EB974FC3084}">
      <x14:pivotCacheDefinition pivotCacheId="187794860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Panjla" refreshedDate="46100.757181828703" createdVersion="8" refreshedVersion="8" minRefreshableVersion="3" recordCount="26" xr:uid="{F8B41185-6620-4668-BA54-72468125CDB0}">
  <cacheSource type="worksheet">
    <worksheetSource ref="B3:C29" sheet="P1 Analysis"/>
  </cacheSource>
  <cacheFields count="2">
    <cacheField name="Broader Categories" numFmtId="0">
      <sharedItems count="11">
        <s v="Veg food"/>
        <s v="Non-veg food"/>
        <s v="Food"/>
        <s v="Luxury"/>
        <s v="Clothing"/>
        <s v="Housing"/>
        <s v="Energy"/>
        <s v="Health"/>
        <s v="Transport and communication"/>
        <s v="Education"/>
        <s v="Misc"/>
      </sharedItems>
    </cacheField>
    <cacheField name="CPI May 2023 _x000a_(Rural Sector)" numFmtId="0">
      <sharedItems containsMixedTypes="1" containsNumber="1" minValue="121.9" maxValue="221" count="26">
        <n v="173.2"/>
        <n v="211.5"/>
        <n v="171"/>
        <n v="179.6"/>
        <n v="173.3"/>
        <n v="169"/>
        <n v="148.69999999999999"/>
        <n v="174.9"/>
        <n v="121.9"/>
        <n v="221"/>
        <n v="178.7"/>
        <n v="191.1"/>
        <n v="176.8"/>
        <n v="199.9"/>
        <n v="191.2"/>
        <n v="187.9"/>
        <n v="190.8"/>
        <s v="-"/>
        <n v="182.5"/>
        <n v="179.8"/>
        <n v="187.8"/>
        <n v="169.7"/>
        <n v="173.8"/>
        <n v="180.3"/>
        <n v="184.9"/>
        <n v="179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Panjla" refreshedDate="46259.505294675924" createdVersion="8" refreshedVersion="8" minRefreshableVersion="3" recordCount="26" xr:uid="{E000E585-DEDA-4DE2-B595-4E327503801A}">
  <cacheSource type="worksheet">
    <worksheetSource ref="A3:E29" sheet="P1 Analysis"/>
  </cacheSource>
  <cacheFields count="5">
    <cacheField name="Categories" numFmtId="0">
      <sharedItems count="26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</sharedItems>
    </cacheField>
    <cacheField name="Broader Categories" numFmtId="0">
      <sharedItems count="11">
        <s v="Veg food"/>
        <s v="Non-veg food"/>
        <s v="Food"/>
        <s v="Luxury"/>
        <s v="Clothing"/>
        <s v="Housing"/>
        <s v="Energy"/>
        <s v="Health"/>
        <s v="Transport and communication"/>
        <s v="Education"/>
        <s v="Misc"/>
      </sharedItems>
    </cacheField>
    <cacheField name="CPI May 2023 _x000a_Rural Sector" numFmtId="0">
      <sharedItems containsMixedTypes="1" containsNumber="1" minValue="121.9" maxValue="221" count="26">
        <n v="173.2"/>
        <n v="211.5"/>
        <n v="171"/>
        <n v="179.6"/>
        <n v="173.3"/>
        <n v="169"/>
        <n v="148.69999999999999"/>
        <n v="174.9"/>
        <n v="121.9"/>
        <n v="221"/>
        <n v="178.7"/>
        <n v="191.1"/>
        <n v="176.8"/>
        <n v="199.9"/>
        <n v="191.2"/>
        <n v="187.9"/>
        <n v="190.8"/>
        <s v="-"/>
        <n v="182.5"/>
        <n v="179.8"/>
        <n v="187.8"/>
        <n v="169.7"/>
        <n v="173.8"/>
        <n v="180.3"/>
        <n v="184.9"/>
        <n v="179.5"/>
      </sharedItems>
    </cacheField>
    <cacheField name="CPI May 2023 _x000a_Urban Sector " numFmtId="0">
      <sharedItems containsSemiMixedTypes="0" containsString="0" containsNumber="1" minValue="124.2" maxValue="219.4"/>
    </cacheField>
    <cacheField name="CPI May 2023 _x000a_Rural+Urban Sector " numFmtId="0">
      <sharedItems containsSemiMixedTypes="0" containsString="0" containsNumber="1" minValue="122.7" maxValue="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 Panjla" refreshedDate="46259.525605902774" createdVersion="8" refreshedVersion="8" minRefreshableVersion="3" recordCount="26" xr:uid="{43B4BCB4-077F-4D14-96E8-5CCDEB029D2F}">
  <cacheSource type="worksheet">
    <worksheetSource ref="A33:E59" sheet="P1 Analysis"/>
  </cacheSource>
  <cacheFields count="5">
    <cacheField name="Categories" numFmtId="0">
      <sharedItems/>
    </cacheField>
    <cacheField name="Broader Categories" numFmtId="0">
      <sharedItems count="9">
        <s v="Food"/>
        <s v="Luxury"/>
        <s v="Clothing"/>
        <s v="Housing"/>
        <s v="Energy"/>
        <s v="Health"/>
        <s v="Transport and communication"/>
        <s v="Education"/>
        <s v="Misc"/>
      </sharedItems>
    </cacheField>
    <cacheField name="CPI May 2023 _x000a_Rural Sector" numFmtId="0">
      <sharedItems containsMixedTypes="1" containsNumber="1" minValue="121.9" maxValue="221" count="26">
        <n v="173.2"/>
        <n v="211.5"/>
        <n v="171"/>
        <n v="179.6"/>
        <n v="173.3"/>
        <n v="169"/>
        <n v="148.69999999999999"/>
        <n v="174.9"/>
        <n v="121.9"/>
        <n v="221"/>
        <n v="178.7"/>
        <n v="191.1"/>
        <n v="176.8"/>
        <n v="199.9"/>
        <n v="191.2"/>
        <n v="187.9"/>
        <n v="190.8"/>
        <s v="-"/>
        <n v="182.5"/>
        <n v="179.8"/>
        <n v="187.8"/>
        <n v="169.7"/>
        <n v="173.8"/>
        <n v="180.3"/>
        <n v="184.9"/>
        <n v="179.5"/>
      </sharedItems>
    </cacheField>
    <cacheField name="CPI May 2023 _x000a_Urban Sector " numFmtId="0">
      <sharedItems containsSemiMixedTypes="0" containsString="0" containsNumber="1" minValue="124.2" maxValue="219.4"/>
    </cacheField>
    <cacheField name="CPI May 2023 _x000a_Rural+Urban Sector " numFmtId="0">
      <sharedItems containsSemiMixedTypes="0" containsString="0" containsNumber="1" minValue="122.7" maxValue="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</r>
  <r>
    <x v="1"/>
    <x v="1"/>
    <x v="1"/>
    <x v="1"/>
  </r>
  <r>
    <x v="1"/>
    <x v="2"/>
    <x v="2"/>
    <x v="2"/>
  </r>
  <r>
    <x v="0"/>
    <x v="3"/>
    <x v="3"/>
    <x v="3"/>
  </r>
  <r>
    <x v="0"/>
    <x v="4"/>
    <x v="4"/>
    <x v="4"/>
  </r>
  <r>
    <x v="0"/>
    <x v="5"/>
    <x v="5"/>
    <x v="5"/>
  </r>
  <r>
    <x v="0"/>
    <x v="6"/>
    <x v="6"/>
    <x v="6"/>
  </r>
  <r>
    <x v="0"/>
    <x v="7"/>
    <x v="7"/>
    <x v="7"/>
  </r>
  <r>
    <x v="0"/>
    <x v="8"/>
    <x v="8"/>
    <x v="8"/>
  </r>
  <r>
    <x v="0"/>
    <x v="9"/>
    <x v="9"/>
    <x v="9"/>
  </r>
  <r>
    <x v="2"/>
    <x v="10"/>
    <x v="10"/>
    <x v="10"/>
  </r>
  <r>
    <x v="2"/>
    <x v="11"/>
    <x v="11"/>
    <x v="11"/>
  </r>
  <r>
    <x v="2"/>
    <x v="12"/>
    <x v="12"/>
    <x v="12"/>
  </r>
  <r>
    <x v="3"/>
    <x v="13"/>
    <x v="13"/>
    <x v="13"/>
  </r>
  <r>
    <x v="4"/>
    <x v="14"/>
    <x v="14"/>
    <x v="14"/>
  </r>
  <r>
    <x v="4"/>
    <x v="15"/>
    <x v="15"/>
    <x v="15"/>
  </r>
  <r>
    <x v="4"/>
    <x v="16"/>
    <x v="16"/>
    <x v="16"/>
  </r>
  <r>
    <x v="5"/>
    <x v="17"/>
    <x v="17"/>
    <x v="7"/>
  </r>
  <r>
    <x v="6"/>
    <x v="18"/>
    <x v="18"/>
    <x v="17"/>
  </r>
  <r>
    <x v="5"/>
    <x v="19"/>
    <x v="19"/>
    <x v="18"/>
  </r>
  <r>
    <x v="7"/>
    <x v="20"/>
    <x v="20"/>
    <x v="19"/>
  </r>
  <r>
    <x v="8"/>
    <x v="21"/>
    <x v="21"/>
    <x v="20"/>
  </r>
  <r>
    <x v="3"/>
    <x v="22"/>
    <x v="22"/>
    <x v="21"/>
  </r>
  <r>
    <x v="9"/>
    <x v="23"/>
    <x v="23"/>
    <x v="22"/>
  </r>
  <r>
    <x v="3"/>
    <x v="24"/>
    <x v="24"/>
    <x v="23"/>
  </r>
  <r>
    <x v="10"/>
    <x v="25"/>
    <x v="25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</r>
  <r>
    <x v="1"/>
    <x v="1"/>
  </r>
  <r>
    <x v="1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2"/>
    <x v="10"/>
  </r>
  <r>
    <x v="2"/>
    <x v="11"/>
  </r>
  <r>
    <x v="2"/>
    <x v="12"/>
  </r>
  <r>
    <x v="3"/>
    <x v="13"/>
  </r>
  <r>
    <x v="4"/>
    <x v="14"/>
  </r>
  <r>
    <x v="4"/>
    <x v="15"/>
  </r>
  <r>
    <x v="4"/>
    <x v="16"/>
  </r>
  <r>
    <x v="5"/>
    <x v="17"/>
  </r>
  <r>
    <x v="6"/>
    <x v="18"/>
  </r>
  <r>
    <x v="5"/>
    <x v="19"/>
  </r>
  <r>
    <x v="7"/>
    <x v="20"/>
  </r>
  <r>
    <x v="8"/>
    <x v="21"/>
  </r>
  <r>
    <x v="3"/>
    <x v="22"/>
  </r>
  <r>
    <x v="9"/>
    <x v="23"/>
  </r>
  <r>
    <x v="3"/>
    <x v="24"/>
  </r>
  <r>
    <x v="10"/>
    <x v="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n v="174.7"/>
    <n v="173.7"/>
  </r>
  <r>
    <x v="1"/>
    <x v="1"/>
    <x v="1"/>
    <n v="219.4"/>
    <n v="214.3"/>
  </r>
  <r>
    <x v="2"/>
    <x v="1"/>
    <x v="2"/>
    <n v="176.7"/>
    <n v="173.2"/>
  </r>
  <r>
    <x v="3"/>
    <x v="0"/>
    <x v="3"/>
    <n v="179.4"/>
    <n v="179.5"/>
  </r>
  <r>
    <x v="4"/>
    <x v="0"/>
    <x v="4"/>
    <n v="164.4"/>
    <n v="170"/>
  </r>
  <r>
    <x v="5"/>
    <x v="0"/>
    <x v="5"/>
    <n v="175.8"/>
    <n v="172.2"/>
  </r>
  <r>
    <x v="6"/>
    <x v="0"/>
    <x v="6"/>
    <n v="185"/>
    <n v="161"/>
  </r>
  <r>
    <x v="7"/>
    <x v="0"/>
    <x v="7"/>
    <n v="176.9"/>
    <n v="175.6"/>
  </r>
  <r>
    <x v="8"/>
    <x v="0"/>
    <x v="8"/>
    <n v="124.2"/>
    <n v="122.7"/>
  </r>
  <r>
    <x v="9"/>
    <x v="0"/>
    <x v="9"/>
    <n v="211.9"/>
    <n v="218"/>
  </r>
  <r>
    <x v="10"/>
    <x v="2"/>
    <x v="10"/>
    <n v="165.9"/>
    <n v="173.4"/>
  </r>
  <r>
    <x v="11"/>
    <x v="2"/>
    <x v="11"/>
    <n v="197.7"/>
    <n v="194.2"/>
  </r>
  <r>
    <x v="12"/>
    <x v="2"/>
    <x v="12"/>
    <n v="183.1"/>
    <n v="179.1"/>
  </r>
  <r>
    <x v="13"/>
    <x v="3"/>
    <x v="13"/>
    <n v="204.2"/>
    <n v="201"/>
  </r>
  <r>
    <x v="14"/>
    <x v="4"/>
    <x v="14"/>
    <n v="181.3"/>
    <n v="187.3"/>
  </r>
  <r>
    <x v="15"/>
    <x v="4"/>
    <x v="15"/>
    <n v="168.1"/>
    <n v="179.7"/>
  </r>
  <r>
    <x v="16"/>
    <x v="4"/>
    <x v="16"/>
    <n v="179.3"/>
    <n v="186.2"/>
  </r>
  <r>
    <x v="17"/>
    <x v="5"/>
    <x v="17"/>
    <n v="175.6"/>
    <n v="175.6"/>
  </r>
  <r>
    <x v="18"/>
    <x v="6"/>
    <x v="18"/>
    <n v="183.4"/>
    <n v="182.8"/>
  </r>
  <r>
    <x v="19"/>
    <x v="5"/>
    <x v="19"/>
    <n v="170.1"/>
    <n v="175.2"/>
  </r>
  <r>
    <x v="20"/>
    <x v="7"/>
    <x v="20"/>
    <n v="182.2"/>
    <n v="185.7"/>
  </r>
  <r>
    <x v="21"/>
    <x v="8"/>
    <x v="21"/>
    <n v="160.4"/>
    <n v="164.8"/>
  </r>
  <r>
    <x v="22"/>
    <x v="3"/>
    <x v="22"/>
    <n v="169.2"/>
    <n v="171.2"/>
  </r>
  <r>
    <x v="23"/>
    <x v="9"/>
    <x v="23"/>
    <n v="174.8"/>
    <n v="177.1"/>
  </r>
  <r>
    <x v="24"/>
    <x v="3"/>
    <x v="24"/>
    <n v="185.6"/>
    <n v="185.2"/>
  </r>
  <r>
    <x v="25"/>
    <x v="10"/>
    <x v="25"/>
    <n v="171.6"/>
    <n v="175.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ereals and products"/>
    <x v="0"/>
    <x v="0"/>
    <n v="174.7"/>
    <n v="173.7"/>
  </r>
  <r>
    <s v="Meat and fish"/>
    <x v="0"/>
    <x v="1"/>
    <n v="219.4"/>
    <n v="214.3"/>
  </r>
  <r>
    <s v="Egg"/>
    <x v="0"/>
    <x v="2"/>
    <n v="176.7"/>
    <n v="173.2"/>
  </r>
  <r>
    <s v="Milk and products"/>
    <x v="0"/>
    <x v="3"/>
    <n v="179.4"/>
    <n v="179.5"/>
  </r>
  <r>
    <s v="Oils and fats"/>
    <x v="0"/>
    <x v="4"/>
    <n v="164.4"/>
    <n v="170"/>
  </r>
  <r>
    <s v="Fruits"/>
    <x v="0"/>
    <x v="5"/>
    <n v="175.8"/>
    <n v="172.2"/>
  </r>
  <r>
    <s v="Vegetables"/>
    <x v="0"/>
    <x v="6"/>
    <n v="185"/>
    <n v="161"/>
  </r>
  <r>
    <s v="Pulses and products"/>
    <x v="0"/>
    <x v="7"/>
    <n v="176.9"/>
    <n v="175.6"/>
  </r>
  <r>
    <s v="Sugar and Confectionery"/>
    <x v="0"/>
    <x v="8"/>
    <n v="124.2"/>
    <n v="122.7"/>
  </r>
  <r>
    <s v="Spices"/>
    <x v="0"/>
    <x v="9"/>
    <n v="211.9"/>
    <n v="218"/>
  </r>
  <r>
    <s v="Non-alcoholic beverages"/>
    <x v="0"/>
    <x v="10"/>
    <n v="165.9"/>
    <n v="173.4"/>
  </r>
  <r>
    <s v="Prepared meals, snacks, sweets etc."/>
    <x v="0"/>
    <x v="11"/>
    <n v="197.7"/>
    <n v="194.2"/>
  </r>
  <r>
    <s v="Food and beverages"/>
    <x v="0"/>
    <x v="12"/>
    <n v="183.1"/>
    <n v="179.1"/>
  </r>
  <r>
    <s v="Pan, tobacco and intoxicants"/>
    <x v="1"/>
    <x v="13"/>
    <n v="204.2"/>
    <n v="201"/>
  </r>
  <r>
    <s v="Clothing"/>
    <x v="2"/>
    <x v="14"/>
    <n v="181.3"/>
    <n v="187.3"/>
  </r>
  <r>
    <s v="Footwear"/>
    <x v="2"/>
    <x v="15"/>
    <n v="168.1"/>
    <n v="179.7"/>
  </r>
  <r>
    <s v="Clothing and footwear"/>
    <x v="2"/>
    <x v="16"/>
    <n v="179.3"/>
    <n v="186.2"/>
  </r>
  <r>
    <s v="Housing"/>
    <x v="3"/>
    <x v="17"/>
    <n v="175.6"/>
    <n v="175.6"/>
  </r>
  <r>
    <s v="Fuel and light"/>
    <x v="4"/>
    <x v="18"/>
    <n v="183.4"/>
    <n v="182.8"/>
  </r>
  <r>
    <s v="Household goods and services"/>
    <x v="3"/>
    <x v="19"/>
    <n v="170.1"/>
    <n v="175.2"/>
  </r>
  <r>
    <s v="Health"/>
    <x v="5"/>
    <x v="20"/>
    <n v="182.2"/>
    <n v="185.7"/>
  </r>
  <r>
    <s v="Transport and communication"/>
    <x v="6"/>
    <x v="21"/>
    <n v="160.4"/>
    <n v="164.8"/>
  </r>
  <r>
    <s v="Recreation and amusement"/>
    <x v="1"/>
    <x v="22"/>
    <n v="169.2"/>
    <n v="171.2"/>
  </r>
  <r>
    <s v="Education"/>
    <x v="7"/>
    <x v="23"/>
    <n v="174.8"/>
    <n v="177.1"/>
  </r>
  <r>
    <s v="Personal care and effects"/>
    <x v="1"/>
    <x v="24"/>
    <n v="185.6"/>
    <n v="185.2"/>
  </r>
  <r>
    <s v="Miscellaneous"/>
    <x v="8"/>
    <x v="25"/>
    <n v="171.6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031EF-CAB8-46DC-9EFE-96F2D94AF002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J6:K19" firstHeaderRow="2" firstDataRow="2" firstDataCol="1"/>
  <pivotFields count="4">
    <pivotField axis="axisRow" compact="0" outline="0" showAll="0">
      <items count="12">
        <item x="4"/>
        <item x="9"/>
        <item x="6"/>
        <item x="2"/>
        <item x="7"/>
        <item x="5"/>
        <item x="3"/>
        <item x="10"/>
        <item x="1"/>
        <item x="8"/>
        <item x="0"/>
        <item t="default"/>
      </items>
    </pivotField>
    <pivotField compact="0" outline="0" subtotalTop="0" showAll="0"/>
    <pivotField dataField="1" compact="0" outline="0" subtotalTop="0" showAll="0"/>
    <pivotField compact="0" outline="0" subtotalTop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PI May 2023 _x000a_(Urban Sector )" fld="2" showDataAs="percentOfTotal" baseField="0" baseItem="0" numFmtId="10"/>
  </dataFields>
  <formats count="1">
    <format dxfId="0">
      <pivotArea outline="0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B1E2C-DFC2-482C-99E9-173521DDF49F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G6:H19" firstHeaderRow="2" firstDataRow="2" firstDataCol="1"/>
  <pivotFields count="2">
    <pivotField axis="axisRow" compact="0" outline="0" showAll="0">
      <items count="12">
        <item x="4"/>
        <item x="9"/>
        <item x="6"/>
        <item x="2"/>
        <item x="7"/>
        <item x="5"/>
        <item x="3"/>
        <item x="10"/>
        <item x="1"/>
        <item x="8"/>
        <item x="0"/>
        <item t="default"/>
      </items>
    </pivotField>
    <pivotField dataField="1" compact="0" outline="0" subtotalTop="0"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PI May 2023 " fld="1" showDataAs="percentOfTotal" baseField="0" baseItem="0" numFmtId="10"/>
  </dataFields>
  <formats count="1">
    <format dxfId="1">
      <pivotArea outline="0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BFBF-F96A-4A7D-B6C6-455290D7613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9">
  <location ref="M6:N19" firstHeaderRow="2" firstDataRow="2" firstDataCol="1"/>
  <pivotFields count="4">
    <pivotField axis="axisRow" compact="0" outline="0" showAll="0" sortType="descending">
      <items count="12">
        <item x="4"/>
        <item x="9"/>
        <item x="6"/>
        <item x="2"/>
        <item x="7"/>
        <item x="5"/>
        <item x="3"/>
        <item x="10"/>
        <item x="1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compact="0" outline="0" subtotalTop="0" showAll="0">
      <items count="27">
        <item h="1" x="8"/>
        <item x="21"/>
        <item h="1" x="4"/>
        <item h="1" x="10"/>
        <item h="1" x="15"/>
        <item h="1" x="22"/>
        <item h="1" x="19"/>
        <item h="1" x="25"/>
        <item h="1" x="0"/>
        <item h="1" x="23"/>
        <item h="1" x="17"/>
        <item h="1" x="5"/>
        <item h="1" x="2"/>
        <item h="1" x="7"/>
        <item h="1" x="16"/>
        <item h="1" x="3"/>
        <item h="1" x="14"/>
        <item h="1" x="20"/>
        <item h="1" x="12"/>
        <item h="1" x="18"/>
        <item h="1" x="6"/>
        <item h="1" x="24"/>
        <item h="1" x="11"/>
        <item h="1" x="13"/>
        <item h="1" x="9"/>
        <item h="1" x="1"/>
        <item t="default"/>
      </items>
    </pivotField>
    <pivotField dataField="1" compact="0" outline="0" subtotalTop="0" showAll="0">
      <items count="26">
        <item x="8"/>
        <item x="6"/>
        <item x="20"/>
        <item x="4"/>
        <item x="21"/>
        <item x="5"/>
        <item x="2"/>
        <item x="10"/>
        <item x="0"/>
        <item x="18"/>
        <item x="7"/>
        <item x="24"/>
        <item x="22"/>
        <item x="12"/>
        <item x="3"/>
        <item x="15"/>
        <item x="17"/>
        <item x="23"/>
        <item x="19"/>
        <item x="16"/>
        <item x="14"/>
        <item x="11"/>
        <item x="13"/>
        <item x="1"/>
        <item x="9"/>
        <item t="default"/>
      </items>
    </pivotField>
  </pivotFields>
  <rowFields count="1">
    <field x="0"/>
  </rowFields>
  <rowItems count="12">
    <i>
      <x v="10"/>
    </i>
    <i>
      <x v="6"/>
    </i>
    <i>
      <x/>
    </i>
    <i>
      <x v="3"/>
    </i>
    <i>
      <x v="8"/>
    </i>
    <i>
      <x v="5"/>
    </i>
    <i>
      <x v="4"/>
    </i>
    <i>
      <x v="2"/>
    </i>
    <i>
      <x v="1"/>
    </i>
    <i>
      <x v="7"/>
    </i>
    <i>
      <x v="9"/>
    </i>
    <i t="grand">
      <x/>
    </i>
  </rowItems>
  <colItems count="1">
    <i/>
  </colItems>
  <dataFields count="1">
    <dataField name="Sum of CPI May 2023 _x000a_(Rural+Urban Sector )" fld="3" showDataAs="percentOfTotal" baseField="0" baseItem="0" numFmtId="10"/>
  </dataFields>
  <formats count="1">
    <format dxfId="2">
      <pivotArea outline="0" fieldPosition="0">
        <references count="1">
          <reference field="0" count="0" selected="0"/>
        </references>
      </pivotArea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2C225-E4A8-4758-9ECA-220D9A9C05C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">
  <location ref="G35:J46" firstHeaderRow="1" firstDataRow="2" firstDataCol="1"/>
  <pivotFields count="5">
    <pivotField compact="0" outline="0" showAll="0"/>
    <pivotField axis="axisRow" compact="0" outline="0" showAll="0">
      <items count="10">
        <item x="2"/>
        <item x="7"/>
        <item x="4"/>
        <item x="0"/>
        <item x="5"/>
        <item x="3"/>
        <item x="1"/>
        <item x="8"/>
        <item x="6"/>
        <item t="default"/>
      </items>
    </pivotField>
    <pivotField dataField="1" compact="0" outline="0"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dataField="1" compact="0" outline="0" showAll="0"/>
    <pivotField dataField="1"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PI May 2023 Rural Sector" fld="2" showDataAs="percentOfTotal" baseField="1" baseItem="0" numFmtId="10"/>
    <dataField name="Sum of CPI May 2023 Urban Sector" fld="3" showDataAs="percentOfTotal" baseField="1" baseItem="3" numFmtId="10"/>
    <dataField name="Sum of CPI May 2023 _x000a_Rural+Urban Sector " fld="4" showDataAs="percentOfTotal" baseField="0" baseItem="0" numFmtId="1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C4CA3-086F-4A5E-80E6-AA3C240873C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P6:S19" firstHeaderRow="1" firstDataRow="2" firstDataCol="1"/>
  <pivotFields count="5">
    <pivotField compact="0" outline="0" showAll="0">
      <items count="27">
        <item x="0"/>
        <item x="14"/>
        <item x="16"/>
        <item x="23"/>
        <item x="2"/>
        <item x="12"/>
        <item x="15"/>
        <item x="5"/>
        <item x="18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axis="axisRow" compact="0" outline="0" showAll="0">
      <items count="12">
        <item x="4"/>
        <item x="9"/>
        <item x="6"/>
        <item x="2"/>
        <item x="7"/>
        <item x="5"/>
        <item x="3"/>
        <item x="10"/>
        <item x="1"/>
        <item x="8"/>
        <item x="0"/>
        <item t="default"/>
      </items>
    </pivotField>
    <pivotField dataField="1" compact="0" outline="0"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dataField="1" compact="0" outline="0" showAll="0"/>
    <pivotField dataField="1" compact="0" outline="0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PI May 2023 _x000a_Rural+Urban Sector " fld="4" baseField="0" baseItem="0"/>
    <dataField name="Sum of CPI May 2023 _x000a_Urban Sector " fld="3" baseField="0" baseItem="0"/>
    <dataField name="Sum of CPI May 2023 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08B8-B4C6-4102-8B01-E1C925930765}">
  <dimension ref="A1:AF373"/>
  <sheetViews>
    <sheetView tabSelected="1" topLeftCell="A261" zoomScale="117" zoomScaleNormal="355" workbookViewId="0">
      <selection activeCell="D397" sqref="B394:D397"/>
    </sheetView>
  </sheetViews>
  <sheetFormatPr defaultRowHeight="14.4" x14ac:dyDescent="0.3"/>
  <cols>
    <col min="1" max="1" width="11.5546875" bestFit="1" customWidth="1"/>
    <col min="2" max="2" width="6.88671875" bestFit="1" customWidth="1"/>
    <col min="3" max="3" width="10.5546875" bestFit="1" customWidth="1"/>
    <col min="4" max="4" width="19.109375" customWidth="1"/>
    <col min="5" max="5" width="12.77734375" customWidth="1"/>
    <col min="6" max="6" width="6" customWidth="1"/>
    <col min="7" max="7" width="16.33203125" customWidth="1"/>
    <col min="8" max="8" width="11.5546875" customWidth="1"/>
    <col min="9" max="9" width="6" customWidth="1"/>
    <col min="10" max="10" width="10.6640625" customWidth="1"/>
    <col min="11" max="11" width="18.33203125" customWidth="1"/>
    <col min="12" max="12" width="22.33203125" customWidth="1"/>
    <col min="13" max="13" width="6.33203125" customWidth="1"/>
    <col min="14" max="14" width="22.6640625" customWidth="1"/>
    <col min="15" max="15" width="32.33203125" customWidth="1"/>
    <col min="16" max="17" width="18.44140625" customWidth="1"/>
    <col min="18" max="18" width="25.77734375" customWidth="1"/>
    <col min="19" max="19" width="8.21875" customWidth="1"/>
    <col min="20" max="20" width="9.109375" customWidth="1"/>
    <col min="21" max="21" width="20.44140625" customWidth="1"/>
    <col min="22" max="22" width="7.88671875" customWidth="1"/>
    <col min="23" max="23" width="12.77734375" customWidth="1"/>
    <col min="24" max="24" width="27.33203125" customWidth="1"/>
    <col min="25" max="25" width="6.6640625" customWidth="1"/>
    <col min="26" max="27" width="27.109375" customWidth="1"/>
    <col min="28" max="28" width="25.109375" customWidth="1"/>
    <col min="29" max="29" width="9.44140625" customWidth="1"/>
    <col min="30" max="30" width="22.88671875" customWidth="1"/>
    <col min="31" max="31" width="13.44140625" customWidth="1"/>
    <col min="32" max="32" width="13.21875" bestFit="1" customWidth="1"/>
    <col min="37" max="37" width="20" bestFit="1" customWidth="1"/>
    <col min="38" max="41" width="12.33203125" bestFit="1" customWidth="1"/>
  </cols>
  <sheetData>
    <row r="1" spans="1:3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51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63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</row>
    <row r="2" spans="1:32" x14ac:dyDescent="0.3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f>SUM(D2:P2)</f>
        <v>1371.6999999999998</v>
      </c>
      <c r="R2" s="1">
        <v>105.1</v>
      </c>
      <c r="S2" s="1">
        <v>106.5</v>
      </c>
      <c r="T2" s="1">
        <v>105.8</v>
      </c>
      <c r="U2" s="1">
        <v>106.4</v>
      </c>
      <c r="V2" s="1" t="s">
        <v>32</v>
      </c>
      <c r="W2" s="1">
        <v>105.5</v>
      </c>
      <c r="X2" s="1">
        <v>104.8</v>
      </c>
      <c r="Y2" s="1">
        <v>104</v>
      </c>
      <c r="Z2" s="1">
        <v>103.3</v>
      </c>
      <c r="AA2" s="1"/>
      <c r="AB2" s="1">
        <v>103.4</v>
      </c>
      <c r="AC2" s="1">
        <v>103.8</v>
      </c>
      <c r="AD2" s="1">
        <v>104.7</v>
      </c>
      <c r="AE2" s="1">
        <v>104</v>
      </c>
      <c r="AF2" s="1">
        <v>105.1</v>
      </c>
    </row>
    <row r="3" spans="1:32" x14ac:dyDescent="0.3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f t="shared" ref="Q3:Q66" si="0">SUM(D3:P3)</f>
        <v>1376.4</v>
      </c>
      <c r="R3" s="1">
        <v>105.2</v>
      </c>
      <c r="S3" s="1">
        <v>105.9</v>
      </c>
      <c r="T3" s="1">
        <v>105</v>
      </c>
      <c r="U3" s="1">
        <v>105.8</v>
      </c>
      <c r="V3" s="1">
        <v>100.3</v>
      </c>
      <c r="W3" s="1">
        <v>105.4</v>
      </c>
      <c r="X3" s="1">
        <v>104.8</v>
      </c>
      <c r="Y3" s="1">
        <v>104.1</v>
      </c>
      <c r="Z3" s="1">
        <v>103.2</v>
      </c>
      <c r="AA3" s="1"/>
      <c r="AB3" s="1">
        <v>102.9</v>
      </c>
      <c r="AC3" s="1">
        <v>103.5</v>
      </c>
      <c r="AD3" s="1">
        <v>104.3</v>
      </c>
      <c r="AE3" s="1">
        <v>103.7</v>
      </c>
      <c r="AF3" s="1">
        <v>104</v>
      </c>
    </row>
    <row r="4" spans="1:32" x14ac:dyDescent="0.3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f t="shared" si="0"/>
        <v>1373.3000000000002</v>
      </c>
      <c r="R4" s="1">
        <v>105.1</v>
      </c>
      <c r="S4" s="1">
        <v>106.3</v>
      </c>
      <c r="T4" s="1">
        <v>105.5</v>
      </c>
      <c r="U4" s="1">
        <v>106.2</v>
      </c>
      <c r="V4" s="1">
        <v>100.3</v>
      </c>
      <c r="W4" s="1">
        <v>105.5</v>
      </c>
      <c r="X4" s="1">
        <v>104.8</v>
      </c>
      <c r="Y4" s="1">
        <v>104</v>
      </c>
      <c r="Z4" s="1">
        <v>103.2</v>
      </c>
      <c r="AA4" s="1"/>
      <c r="AB4" s="1">
        <v>103.1</v>
      </c>
      <c r="AC4" s="1">
        <v>103.6</v>
      </c>
      <c r="AD4" s="1">
        <v>104.5</v>
      </c>
      <c r="AE4" s="1">
        <v>103.9</v>
      </c>
      <c r="AF4" s="1">
        <v>104.6</v>
      </c>
    </row>
    <row r="5" spans="1:32" x14ac:dyDescent="0.3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f t="shared" si="0"/>
        <v>1380.3999999999999</v>
      </c>
      <c r="R5" s="1">
        <v>105.6</v>
      </c>
      <c r="S5" s="1">
        <v>107.1</v>
      </c>
      <c r="T5" s="1">
        <v>106.3</v>
      </c>
      <c r="U5" s="1">
        <v>107</v>
      </c>
      <c r="V5" s="1" t="s">
        <v>32</v>
      </c>
      <c r="W5" s="1">
        <v>106.2</v>
      </c>
      <c r="X5" s="1">
        <v>105.2</v>
      </c>
      <c r="Y5" s="1">
        <v>104.4</v>
      </c>
      <c r="Z5" s="1">
        <v>103.9</v>
      </c>
      <c r="AA5" s="1"/>
      <c r="AB5" s="1">
        <v>104</v>
      </c>
      <c r="AC5" s="1">
        <v>104.1</v>
      </c>
      <c r="AD5" s="1">
        <v>104.6</v>
      </c>
      <c r="AE5" s="1">
        <v>104.4</v>
      </c>
      <c r="AF5" s="1">
        <v>105.8</v>
      </c>
    </row>
    <row r="6" spans="1:32" x14ac:dyDescent="0.3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f t="shared" si="0"/>
        <v>1390.6000000000001</v>
      </c>
      <c r="R6" s="1">
        <v>106</v>
      </c>
      <c r="S6" s="1">
        <v>106.6</v>
      </c>
      <c r="T6" s="1">
        <v>105.5</v>
      </c>
      <c r="U6" s="1">
        <v>106.4</v>
      </c>
      <c r="V6" s="1">
        <v>100.4</v>
      </c>
      <c r="W6" s="1">
        <v>105.7</v>
      </c>
      <c r="X6" s="1">
        <v>105.2</v>
      </c>
      <c r="Y6" s="1">
        <v>104.7</v>
      </c>
      <c r="Z6" s="1">
        <v>104.4</v>
      </c>
      <c r="AA6" s="1"/>
      <c r="AB6" s="1">
        <v>103.3</v>
      </c>
      <c r="AC6" s="1">
        <v>103.7</v>
      </c>
      <c r="AD6" s="1">
        <v>104.3</v>
      </c>
      <c r="AE6" s="1">
        <v>104.3</v>
      </c>
      <c r="AF6" s="1">
        <v>104.7</v>
      </c>
    </row>
    <row r="7" spans="1:32" x14ac:dyDescent="0.3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f t="shared" si="0"/>
        <v>1384.2</v>
      </c>
      <c r="R7" s="1">
        <v>105.7</v>
      </c>
      <c r="S7" s="1">
        <v>106.9</v>
      </c>
      <c r="T7" s="1">
        <v>106</v>
      </c>
      <c r="U7" s="1">
        <v>106.8</v>
      </c>
      <c r="V7" s="1">
        <v>100.4</v>
      </c>
      <c r="W7" s="1">
        <v>106</v>
      </c>
      <c r="X7" s="1">
        <v>105.2</v>
      </c>
      <c r="Y7" s="1">
        <v>104.5</v>
      </c>
      <c r="Z7" s="1">
        <v>104.2</v>
      </c>
      <c r="AA7" s="1"/>
      <c r="AB7" s="1">
        <v>103.6</v>
      </c>
      <c r="AC7" s="1">
        <v>103.9</v>
      </c>
      <c r="AD7" s="1">
        <v>104.5</v>
      </c>
      <c r="AE7" s="1">
        <v>104.4</v>
      </c>
      <c r="AF7" s="1">
        <v>105.3</v>
      </c>
    </row>
    <row r="8" spans="1:32" x14ac:dyDescent="0.3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f t="shared" si="0"/>
        <v>1382.2</v>
      </c>
      <c r="R8" s="1">
        <v>106.5</v>
      </c>
      <c r="S8" s="1">
        <v>107.6</v>
      </c>
      <c r="T8" s="1">
        <v>106.8</v>
      </c>
      <c r="U8" s="1">
        <v>107.5</v>
      </c>
      <c r="V8" s="1" t="s">
        <v>32</v>
      </c>
      <c r="W8" s="1">
        <v>106.1</v>
      </c>
      <c r="X8" s="1">
        <v>105.6</v>
      </c>
      <c r="Y8" s="1">
        <v>104.7</v>
      </c>
      <c r="Z8" s="1">
        <v>104.6</v>
      </c>
      <c r="AA8" s="1"/>
      <c r="AB8" s="1">
        <v>104</v>
      </c>
      <c r="AC8" s="1">
        <v>104.3</v>
      </c>
      <c r="AD8" s="1">
        <v>104.3</v>
      </c>
      <c r="AE8" s="1">
        <v>104.6</v>
      </c>
      <c r="AF8" s="1">
        <v>106</v>
      </c>
    </row>
    <row r="9" spans="1:32" x14ac:dyDescent="0.3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f t="shared" si="0"/>
        <v>1386.8</v>
      </c>
      <c r="R9" s="1">
        <v>106.8</v>
      </c>
      <c r="S9" s="1">
        <v>107.2</v>
      </c>
      <c r="T9" s="1">
        <v>106</v>
      </c>
      <c r="U9" s="1">
        <v>107</v>
      </c>
      <c r="V9" s="1">
        <v>100.4</v>
      </c>
      <c r="W9" s="1">
        <v>106</v>
      </c>
      <c r="X9" s="1">
        <v>105.7</v>
      </c>
      <c r="Y9" s="1">
        <v>105.2</v>
      </c>
      <c r="Z9" s="1">
        <v>105.5</v>
      </c>
      <c r="AA9" s="1"/>
      <c r="AB9" s="1">
        <v>103.5</v>
      </c>
      <c r="AC9" s="1">
        <v>103.8</v>
      </c>
      <c r="AD9" s="1">
        <v>104.2</v>
      </c>
      <c r="AE9" s="1">
        <v>104.9</v>
      </c>
      <c r="AF9" s="1">
        <v>105</v>
      </c>
    </row>
    <row r="10" spans="1:32" x14ac:dyDescent="0.3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f t="shared" si="0"/>
        <v>1384.0000000000002</v>
      </c>
      <c r="R10" s="1">
        <v>106.6</v>
      </c>
      <c r="S10" s="1">
        <v>107.4</v>
      </c>
      <c r="T10" s="1">
        <v>106.5</v>
      </c>
      <c r="U10" s="1">
        <v>107.3</v>
      </c>
      <c r="V10" s="1">
        <v>100.4</v>
      </c>
      <c r="W10" s="1">
        <v>106.1</v>
      </c>
      <c r="X10" s="1">
        <v>105.6</v>
      </c>
      <c r="Y10" s="1">
        <v>104.9</v>
      </c>
      <c r="Z10" s="1">
        <v>105.1</v>
      </c>
      <c r="AA10" s="1"/>
      <c r="AB10" s="1">
        <v>103.7</v>
      </c>
      <c r="AC10" s="1">
        <v>104</v>
      </c>
      <c r="AD10" s="1">
        <v>104.3</v>
      </c>
      <c r="AE10" s="1">
        <v>104.7</v>
      </c>
      <c r="AF10" s="1">
        <v>105.5</v>
      </c>
    </row>
    <row r="11" spans="1:32" x14ac:dyDescent="0.3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f t="shared" si="0"/>
        <v>1385.8</v>
      </c>
      <c r="R11" s="1">
        <v>107.1</v>
      </c>
      <c r="S11" s="1">
        <v>108.1</v>
      </c>
      <c r="T11" s="1">
        <v>107.4</v>
      </c>
      <c r="U11" s="1">
        <v>108</v>
      </c>
      <c r="V11" s="1" t="s">
        <v>32</v>
      </c>
      <c r="W11" s="1">
        <v>106.5</v>
      </c>
      <c r="X11" s="1">
        <v>106.1</v>
      </c>
      <c r="Y11" s="1">
        <v>105.1</v>
      </c>
      <c r="Z11" s="1">
        <v>104.4</v>
      </c>
      <c r="AA11" s="1"/>
      <c r="AB11" s="1">
        <v>104.5</v>
      </c>
      <c r="AC11" s="1">
        <v>104.8</v>
      </c>
      <c r="AD11" s="1">
        <v>102.7</v>
      </c>
      <c r="AE11" s="1">
        <v>104.6</v>
      </c>
      <c r="AF11" s="1">
        <v>106.4</v>
      </c>
    </row>
    <row r="12" spans="1:32" x14ac:dyDescent="0.3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f t="shared" si="0"/>
        <v>1397.6999999999998</v>
      </c>
      <c r="R12" s="1">
        <v>108.5</v>
      </c>
      <c r="S12" s="1">
        <v>107.9</v>
      </c>
      <c r="T12" s="1">
        <v>106.4</v>
      </c>
      <c r="U12" s="1">
        <v>107.7</v>
      </c>
      <c r="V12" s="1">
        <v>100.5</v>
      </c>
      <c r="W12" s="1">
        <v>106.4</v>
      </c>
      <c r="X12" s="1">
        <v>106.5</v>
      </c>
      <c r="Y12" s="1">
        <v>105.7</v>
      </c>
      <c r="Z12" s="1">
        <v>105</v>
      </c>
      <c r="AA12" s="1"/>
      <c r="AB12" s="1">
        <v>104</v>
      </c>
      <c r="AC12" s="1">
        <v>105.2</v>
      </c>
      <c r="AD12" s="1">
        <v>103.2</v>
      </c>
      <c r="AE12" s="1">
        <v>105.1</v>
      </c>
      <c r="AF12" s="1">
        <v>105.7</v>
      </c>
    </row>
    <row r="13" spans="1:32" x14ac:dyDescent="0.3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f t="shared" si="0"/>
        <v>1390.2</v>
      </c>
      <c r="R13" s="1">
        <v>107.5</v>
      </c>
      <c r="S13" s="1">
        <v>108</v>
      </c>
      <c r="T13" s="1">
        <v>107</v>
      </c>
      <c r="U13" s="1">
        <v>107.9</v>
      </c>
      <c r="V13" s="1">
        <v>100.5</v>
      </c>
      <c r="W13" s="1">
        <v>106.5</v>
      </c>
      <c r="X13" s="1">
        <v>106.3</v>
      </c>
      <c r="Y13" s="1">
        <v>105.3</v>
      </c>
      <c r="Z13" s="1">
        <v>104.7</v>
      </c>
      <c r="AA13" s="1"/>
      <c r="AB13" s="1">
        <v>104.2</v>
      </c>
      <c r="AC13" s="1">
        <v>105</v>
      </c>
      <c r="AD13" s="1">
        <v>102.9</v>
      </c>
      <c r="AE13" s="1">
        <v>104.8</v>
      </c>
      <c r="AF13" s="1">
        <v>106.1</v>
      </c>
    </row>
    <row r="14" spans="1:32" x14ac:dyDescent="0.3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f t="shared" si="0"/>
        <v>1394</v>
      </c>
      <c r="R14" s="1">
        <v>108.1</v>
      </c>
      <c r="S14" s="1">
        <v>108.8</v>
      </c>
      <c r="T14" s="1">
        <v>107.9</v>
      </c>
      <c r="U14" s="1">
        <v>108.6</v>
      </c>
      <c r="V14" s="1" t="s">
        <v>32</v>
      </c>
      <c r="W14" s="1">
        <v>107.5</v>
      </c>
      <c r="X14" s="1">
        <v>106.8</v>
      </c>
      <c r="Y14" s="1">
        <v>105.7</v>
      </c>
      <c r="Z14" s="1">
        <v>104.1</v>
      </c>
      <c r="AA14" s="1"/>
      <c r="AB14" s="1">
        <v>105</v>
      </c>
      <c r="AC14" s="1">
        <v>105.5</v>
      </c>
      <c r="AD14" s="1">
        <v>102.1</v>
      </c>
      <c r="AE14" s="1">
        <v>104.8</v>
      </c>
      <c r="AF14" s="1">
        <v>107.2</v>
      </c>
    </row>
    <row r="15" spans="1:32" x14ac:dyDescent="0.3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f t="shared" si="0"/>
        <v>1417.1999999999998</v>
      </c>
      <c r="R15" s="1">
        <v>109.8</v>
      </c>
      <c r="S15" s="1">
        <v>108.5</v>
      </c>
      <c r="T15" s="1">
        <v>106.7</v>
      </c>
      <c r="U15" s="1">
        <v>108.3</v>
      </c>
      <c r="V15" s="1">
        <v>100.5</v>
      </c>
      <c r="W15" s="1">
        <v>107.2</v>
      </c>
      <c r="X15" s="1">
        <v>107.1</v>
      </c>
      <c r="Y15" s="1">
        <v>106.2</v>
      </c>
      <c r="Z15" s="1">
        <v>103.9</v>
      </c>
      <c r="AA15" s="1"/>
      <c r="AB15" s="1">
        <v>104.6</v>
      </c>
      <c r="AC15" s="1">
        <v>105.7</v>
      </c>
      <c r="AD15" s="1">
        <v>102.6</v>
      </c>
      <c r="AE15" s="1">
        <v>104.9</v>
      </c>
      <c r="AF15" s="1">
        <v>106.6</v>
      </c>
    </row>
    <row r="16" spans="1:32" x14ac:dyDescent="0.3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f t="shared" si="0"/>
        <v>1402.1999999999998</v>
      </c>
      <c r="R16" s="1">
        <v>108.6</v>
      </c>
      <c r="S16" s="1">
        <v>108.7</v>
      </c>
      <c r="T16" s="1">
        <v>107.4</v>
      </c>
      <c r="U16" s="1">
        <v>108.5</v>
      </c>
      <c r="V16" s="1">
        <v>100.5</v>
      </c>
      <c r="W16" s="1">
        <v>107.4</v>
      </c>
      <c r="X16" s="1">
        <v>106.9</v>
      </c>
      <c r="Y16" s="1">
        <v>105.9</v>
      </c>
      <c r="Z16" s="1">
        <v>104</v>
      </c>
      <c r="AA16" s="1"/>
      <c r="AB16" s="1">
        <v>104.8</v>
      </c>
      <c r="AC16" s="1">
        <v>105.6</v>
      </c>
      <c r="AD16" s="1">
        <v>102.3</v>
      </c>
      <c r="AE16" s="1">
        <v>104.8</v>
      </c>
      <c r="AF16" s="1">
        <v>106.9</v>
      </c>
    </row>
    <row r="17" spans="1:32" x14ac:dyDescent="0.3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f t="shared" si="0"/>
        <v>1420</v>
      </c>
      <c r="R17" s="1">
        <v>109</v>
      </c>
      <c r="S17" s="1">
        <v>109.7</v>
      </c>
      <c r="T17" s="1">
        <v>108.8</v>
      </c>
      <c r="U17" s="1">
        <v>109.5</v>
      </c>
      <c r="V17" s="1" t="s">
        <v>32</v>
      </c>
      <c r="W17" s="1">
        <v>108.5</v>
      </c>
      <c r="X17" s="1">
        <v>107.5</v>
      </c>
      <c r="Y17" s="1">
        <v>106.3</v>
      </c>
      <c r="Z17" s="1">
        <v>105</v>
      </c>
      <c r="AA17" s="1"/>
      <c r="AB17" s="1">
        <v>105.6</v>
      </c>
      <c r="AC17" s="1">
        <v>106.5</v>
      </c>
      <c r="AD17" s="1">
        <v>102.5</v>
      </c>
      <c r="AE17" s="1">
        <v>105.5</v>
      </c>
      <c r="AF17" s="1">
        <v>108.9</v>
      </c>
    </row>
    <row r="18" spans="1:32" x14ac:dyDescent="0.3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f t="shared" si="0"/>
        <v>1464.6000000000001</v>
      </c>
      <c r="R18" s="1">
        <v>110.9</v>
      </c>
      <c r="S18" s="1">
        <v>109.2</v>
      </c>
      <c r="T18" s="1">
        <v>107.2</v>
      </c>
      <c r="U18" s="1">
        <v>108.9</v>
      </c>
      <c r="V18" s="1">
        <v>106.6</v>
      </c>
      <c r="W18" s="1">
        <v>108</v>
      </c>
      <c r="X18" s="1">
        <v>107.7</v>
      </c>
      <c r="Y18" s="1">
        <v>106.5</v>
      </c>
      <c r="Z18" s="1">
        <v>105.2</v>
      </c>
      <c r="AA18" s="1"/>
      <c r="AB18" s="1">
        <v>105.2</v>
      </c>
      <c r="AC18" s="1">
        <v>108.1</v>
      </c>
      <c r="AD18" s="1">
        <v>103.3</v>
      </c>
      <c r="AE18" s="1">
        <v>106.1</v>
      </c>
      <c r="AF18" s="1">
        <v>109.7</v>
      </c>
    </row>
    <row r="19" spans="1:32" x14ac:dyDescent="0.3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f t="shared" si="0"/>
        <v>1436</v>
      </c>
      <c r="R19" s="1">
        <v>109.5</v>
      </c>
      <c r="S19" s="1">
        <v>109.5</v>
      </c>
      <c r="T19" s="1">
        <v>108.1</v>
      </c>
      <c r="U19" s="1">
        <v>109.3</v>
      </c>
      <c r="V19" s="1">
        <v>106.6</v>
      </c>
      <c r="W19" s="1">
        <v>108.3</v>
      </c>
      <c r="X19" s="1">
        <v>107.6</v>
      </c>
      <c r="Y19" s="1">
        <v>106.4</v>
      </c>
      <c r="Z19" s="1">
        <v>105.1</v>
      </c>
      <c r="AA19" s="1"/>
      <c r="AB19" s="1">
        <v>105.4</v>
      </c>
      <c r="AC19" s="1">
        <v>107.4</v>
      </c>
      <c r="AD19" s="1">
        <v>102.8</v>
      </c>
      <c r="AE19" s="1">
        <v>105.8</v>
      </c>
      <c r="AF19" s="1">
        <v>109.3</v>
      </c>
    </row>
    <row r="20" spans="1:32" x14ac:dyDescent="0.3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f t="shared" si="0"/>
        <v>1445.8999999999996</v>
      </c>
      <c r="R20" s="1">
        <v>109.8</v>
      </c>
      <c r="S20" s="1">
        <v>110.5</v>
      </c>
      <c r="T20" s="1">
        <v>109.5</v>
      </c>
      <c r="U20" s="1">
        <v>110.3</v>
      </c>
      <c r="V20" s="1" t="s">
        <v>32</v>
      </c>
      <c r="W20" s="1">
        <v>109.5</v>
      </c>
      <c r="X20" s="1">
        <v>108.3</v>
      </c>
      <c r="Y20" s="1">
        <v>106.9</v>
      </c>
      <c r="Z20" s="1">
        <v>106.8</v>
      </c>
      <c r="AA20" s="1"/>
      <c r="AB20" s="1">
        <v>106.4</v>
      </c>
      <c r="AC20" s="1">
        <v>107.8</v>
      </c>
      <c r="AD20" s="1">
        <v>102.5</v>
      </c>
      <c r="AE20" s="1">
        <v>106.5</v>
      </c>
      <c r="AF20" s="1">
        <v>110.7</v>
      </c>
    </row>
    <row r="21" spans="1:32" x14ac:dyDescent="0.3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f t="shared" si="0"/>
        <v>1489.4</v>
      </c>
      <c r="R21" s="1">
        <v>111.7</v>
      </c>
      <c r="S21" s="1">
        <v>109.8</v>
      </c>
      <c r="T21" s="1">
        <v>107.8</v>
      </c>
      <c r="U21" s="1">
        <v>109.5</v>
      </c>
      <c r="V21" s="1">
        <v>107.7</v>
      </c>
      <c r="W21" s="1">
        <v>108.6</v>
      </c>
      <c r="X21" s="1">
        <v>108.1</v>
      </c>
      <c r="Y21" s="1">
        <v>107.1</v>
      </c>
      <c r="Z21" s="1">
        <v>107.3</v>
      </c>
      <c r="AA21" s="1"/>
      <c r="AB21" s="1">
        <v>105.9</v>
      </c>
      <c r="AC21" s="1">
        <v>110.1</v>
      </c>
      <c r="AD21" s="1">
        <v>103.2</v>
      </c>
      <c r="AE21" s="1">
        <v>107.3</v>
      </c>
      <c r="AF21" s="1">
        <v>111.4</v>
      </c>
    </row>
    <row r="22" spans="1:32" x14ac:dyDescent="0.3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f t="shared" si="0"/>
        <v>1461.3999999999999</v>
      </c>
      <c r="R22" s="1">
        <v>110.3</v>
      </c>
      <c r="S22" s="1">
        <v>110.2</v>
      </c>
      <c r="T22" s="1">
        <v>108.8</v>
      </c>
      <c r="U22" s="1">
        <v>110</v>
      </c>
      <c r="V22" s="1">
        <v>107.7</v>
      </c>
      <c r="W22" s="1">
        <v>109.2</v>
      </c>
      <c r="X22" s="1">
        <v>108.2</v>
      </c>
      <c r="Y22" s="1">
        <v>107</v>
      </c>
      <c r="Z22" s="1">
        <v>107.1</v>
      </c>
      <c r="AA22" s="1"/>
      <c r="AB22" s="1">
        <v>106.1</v>
      </c>
      <c r="AC22" s="1">
        <v>109.1</v>
      </c>
      <c r="AD22" s="1">
        <v>102.8</v>
      </c>
      <c r="AE22" s="1">
        <v>106.9</v>
      </c>
      <c r="AF22" s="1">
        <v>111</v>
      </c>
    </row>
    <row r="23" spans="1:32" x14ac:dyDescent="0.3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f t="shared" si="0"/>
        <v>1462.5</v>
      </c>
      <c r="R23" s="1">
        <v>110.7</v>
      </c>
      <c r="S23" s="1">
        <v>111.3</v>
      </c>
      <c r="T23" s="1">
        <v>110.2</v>
      </c>
      <c r="U23" s="1">
        <v>111.1</v>
      </c>
      <c r="V23" s="1" t="s">
        <v>32</v>
      </c>
      <c r="W23" s="1">
        <v>109.9</v>
      </c>
      <c r="X23" s="1">
        <v>108.7</v>
      </c>
      <c r="Y23" s="1">
        <v>107.5</v>
      </c>
      <c r="Z23" s="1">
        <v>107.8</v>
      </c>
      <c r="AA23" s="1"/>
      <c r="AB23" s="1">
        <v>106.8</v>
      </c>
      <c r="AC23" s="1">
        <v>108.7</v>
      </c>
      <c r="AD23" s="1">
        <v>105</v>
      </c>
      <c r="AE23" s="1">
        <v>107.5</v>
      </c>
      <c r="AF23" s="1">
        <v>112.1</v>
      </c>
    </row>
    <row r="24" spans="1:32" x14ac:dyDescent="0.3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f t="shared" si="0"/>
        <v>1506.1000000000001</v>
      </c>
      <c r="R24" s="1">
        <v>112.4</v>
      </c>
      <c r="S24" s="1">
        <v>110.6</v>
      </c>
      <c r="T24" s="1">
        <v>108.3</v>
      </c>
      <c r="U24" s="1">
        <v>110.2</v>
      </c>
      <c r="V24" s="1">
        <v>108.9</v>
      </c>
      <c r="W24" s="1">
        <v>109.3</v>
      </c>
      <c r="X24" s="1">
        <v>108.7</v>
      </c>
      <c r="Y24" s="1">
        <v>107.6</v>
      </c>
      <c r="Z24" s="1">
        <v>108.1</v>
      </c>
      <c r="AA24" s="1"/>
      <c r="AB24" s="1">
        <v>106.5</v>
      </c>
      <c r="AC24" s="1">
        <v>110.8</v>
      </c>
      <c r="AD24" s="1">
        <v>106</v>
      </c>
      <c r="AE24" s="1">
        <v>108.3</v>
      </c>
      <c r="AF24" s="1">
        <v>112.7</v>
      </c>
    </row>
    <row r="25" spans="1:32" x14ac:dyDescent="0.3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f t="shared" si="0"/>
        <v>1477.4</v>
      </c>
      <c r="R25" s="1">
        <v>111.2</v>
      </c>
      <c r="S25" s="1">
        <v>111</v>
      </c>
      <c r="T25" s="1">
        <v>109.4</v>
      </c>
      <c r="U25" s="1">
        <v>110.7</v>
      </c>
      <c r="V25" s="1">
        <v>108.9</v>
      </c>
      <c r="W25" s="1">
        <v>109.7</v>
      </c>
      <c r="X25" s="1">
        <v>108.7</v>
      </c>
      <c r="Y25" s="1">
        <v>107.5</v>
      </c>
      <c r="Z25" s="1">
        <v>108</v>
      </c>
      <c r="AA25" s="1"/>
      <c r="AB25" s="1">
        <v>106.6</v>
      </c>
      <c r="AC25" s="1">
        <v>109.9</v>
      </c>
      <c r="AD25" s="1">
        <v>105.4</v>
      </c>
      <c r="AE25" s="1">
        <v>107.9</v>
      </c>
      <c r="AF25" s="1">
        <v>112.4</v>
      </c>
    </row>
    <row r="26" spans="1:32" x14ac:dyDescent="0.3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f t="shared" si="0"/>
        <v>1488.5000000000002</v>
      </c>
      <c r="R26" s="1">
        <v>111.7</v>
      </c>
      <c r="S26" s="1">
        <v>112.7</v>
      </c>
      <c r="T26" s="1">
        <v>111.4</v>
      </c>
      <c r="U26" s="1">
        <v>112.5</v>
      </c>
      <c r="V26" s="1" t="s">
        <v>32</v>
      </c>
      <c r="W26" s="1">
        <v>111.1</v>
      </c>
      <c r="X26" s="1">
        <v>109.6</v>
      </c>
      <c r="Y26" s="1">
        <v>108.3</v>
      </c>
      <c r="Z26" s="1">
        <v>109.3</v>
      </c>
      <c r="AA26" s="1"/>
      <c r="AB26" s="1">
        <v>107.7</v>
      </c>
      <c r="AC26" s="1">
        <v>109.8</v>
      </c>
      <c r="AD26" s="1">
        <v>106.7</v>
      </c>
      <c r="AE26" s="1">
        <v>108.7</v>
      </c>
      <c r="AF26" s="1">
        <v>114.2</v>
      </c>
    </row>
    <row r="27" spans="1:32" x14ac:dyDescent="0.3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f t="shared" si="0"/>
        <v>1500.4</v>
      </c>
      <c r="R27" s="1">
        <v>112.9</v>
      </c>
      <c r="S27" s="1">
        <v>111.4</v>
      </c>
      <c r="T27" s="1">
        <v>109</v>
      </c>
      <c r="U27" s="1">
        <v>111.1</v>
      </c>
      <c r="V27" s="1">
        <v>109.7</v>
      </c>
      <c r="W27" s="1">
        <v>109.5</v>
      </c>
      <c r="X27" s="1">
        <v>109.6</v>
      </c>
      <c r="Y27" s="1">
        <v>107.9</v>
      </c>
      <c r="Z27" s="1">
        <v>110.4</v>
      </c>
      <c r="AA27" s="1"/>
      <c r="AB27" s="1">
        <v>107.4</v>
      </c>
      <c r="AC27" s="1">
        <v>111.2</v>
      </c>
      <c r="AD27" s="1">
        <v>106.9</v>
      </c>
      <c r="AE27" s="1">
        <v>109.4</v>
      </c>
      <c r="AF27" s="1">
        <v>113.2</v>
      </c>
    </row>
    <row r="28" spans="1:32" x14ac:dyDescent="0.3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f t="shared" si="0"/>
        <v>1491.6999999999998</v>
      </c>
      <c r="R28" s="1">
        <v>112</v>
      </c>
      <c r="S28" s="1">
        <v>112.2</v>
      </c>
      <c r="T28" s="1">
        <v>110.4</v>
      </c>
      <c r="U28" s="1">
        <v>111.9</v>
      </c>
      <c r="V28" s="1">
        <v>109.7</v>
      </c>
      <c r="W28" s="1">
        <v>110.5</v>
      </c>
      <c r="X28" s="1">
        <v>109.6</v>
      </c>
      <c r="Y28" s="1">
        <v>108.1</v>
      </c>
      <c r="Z28" s="1">
        <v>109.9</v>
      </c>
      <c r="AA28" s="1"/>
      <c r="AB28" s="1">
        <v>107.5</v>
      </c>
      <c r="AC28" s="1">
        <v>110.6</v>
      </c>
      <c r="AD28" s="1">
        <v>106.8</v>
      </c>
      <c r="AE28" s="1">
        <v>109</v>
      </c>
      <c r="AF28" s="1">
        <v>113.7</v>
      </c>
    </row>
    <row r="29" spans="1:32" x14ac:dyDescent="0.3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f t="shared" si="0"/>
        <v>1508</v>
      </c>
      <c r="R29" s="1">
        <v>112.2</v>
      </c>
      <c r="S29" s="1">
        <v>113.6</v>
      </c>
      <c r="T29" s="1">
        <v>112.3</v>
      </c>
      <c r="U29" s="1">
        <v>113.4</v>
      </c>
      <c r="V29" s="1" t="s">
        <v>32</v>
      </c>
      <c r="W29" s="1">
        <v>111.6</v>
      </c>
      <c r="X29" s="1">
        <v>110.4</v>
      </c>
      <c r="Y29" s="1">
        <v>108.9</v>
      </c>
      <c r="Z29" s="1">
        <v>109.3</v>
      </c>
      <c r="AA29" s="1"/>
      <c r="AB29" s="1">
        <v>108.3</v>
      </c>
      <c r="AC29" s="1">
        <v>110.2</v>
      </c>
      <c r="AD29" s="1">
        <v>107.5</v>
      </c>
      <c r="AE29" s="1">
        <v>109.1</v>
      </c>
      <c r="AF29" s="1">
        <v>115.5</v>
      </c>
    </row>
    <row r="30" spans="1:32" x14ac:dyDescent="0.3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f t="shared" si="0"/>
        <v>1517.1999999999998</v>
      </c>
      <c r="R30" s="1">
        <v>113.5</v>
      </c>
      <c r="S30" s="1">
        <v>112.5</v>
      </c>
      <c r="T30" s="1">
        <v>109.7</v>
      </c>
      <c r="U30" s="1">
        <v>112</v>
      </c>
      <c r="V30" s="1">
        <v>110.5</v>
      </c>
      <c r="W30" s="1">
        <v>109.7</v>
      </c>
      <c r="X30" s="1">
        <v>110.2</v>
      </c>
      <c r="Y30" s="1">
        <v>108.2</v>
      </c>
      <c r="Z30" s="1">
        <v>109.7</v>
      </c>
      <c r="AA30" s="1"/>
      <c r="AB30" s="1">
        <v>108</v>
      </c>
      <c r="AC30" s="1">
        <v>111.3</v>
      </c>
      <c r="AD30" s="1">
        <v>107.3</v>
      </c>
      <c r="AE30" s="1">
        <v>109.4</v>
      </c>
      <c r="AF30" s="1">
        <v>114</v>
      </c>
    </row>
    <row r="31" spans="1:32" x14ac:dyDescent="0.3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f t="shared" si="0"/>
        <v>1510.2000000000003</v>
      </c>
      <c r="R31" s="1">
        <v>112.5</v>
      </c>
      <c r="S31" s="1">
        <v>113.2</v>
      </c>
      <c r="T31" s="1">
        <v>111.2</v>
      </c>
      <c r="U31" s="1">
        <v>112.8</v>
      </c>
      <c r="V31" s="1">
        <v>110.5</v>
      </c>
      <c r="W31" s="1">
        <v>110.9</v>
      </c>
      <c r="X31" s="1">
        <v>110.3</v>
      </c>
      <c r="Y31" s="1">
        <v>108.6</v>
      </c>
      <c r="Z31" s="1">
        <v>109.5</v>
      </c>
      <c r="AA31" s="1"/>
      <c r="AB31" s="1">
        <v>108.1</v>
      </c>
      <c r="AC31" s="1">
        <v>110.8</v>
      </c>
      <c r="AD31" s="1">
        <v>107.4</v>
      </c>
      <c r="AE31" s="1">
        <v>109.2</v>
      </c>
      <c r="AF31" s="1">
        <v>114.8</v>
      </c>
    </row>
    <row r="32" spans="1:32" x14ac:dyDescent="0.3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f t="shared" si="0"/>
        <v>1536.8</v>
      </c>
      <c r="R32" s="1">
        <v>112.8</v>
      </c>
      <c r="S32" s="1">
        <v>114.6</v>
      </c>
      <c r="T32" s="1">
        <v>113.1</v>
      </c>
      <c r="U32" s="1">
        <v>114.4</v>
      </c>
      <c r="V32" s="1" t="s">
        <v>32</v>
      </c>
      <c r="W32" s="1">
        <v>112.6</v>
      </c>
      <c r="X32" s="1">
        <v>111.3</v>
      </c>
      <c r="Y32" s="1">
        <v>109.7</v>
      </c>
      <c r="Z32" s="1">
        <v>109.6</v>
      </c>
      <c r="AA32" s="1"/>
      <c r="AB32" s="1">
        <v>108.7</v>
      </c>
      <c r="AC32" s="1">
        <v>111</v>
      </c>
      <c r="AD32" s="1">
        <v>108.2</v>
      </c>
      <c r="AE32" s="1">
        <v>109.8</v>
      </c>
      <c r="AF32" s="1">
        <v>117.4</v>
      </c>
    </row>
    <row r="33" spans="1:32" x14ac:dyDescent="0.3">
      <c r="A33" s="1" t="s">
        <v>33</v>
      </c>
      <c r="B33" s="1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f t="shared" si="0"/>
        <v>1544.6</v>
      </c>
      <c r="R33" s="1">
        <v>114.1</v>
      </c>
      <c r="S33" s="1">
        <v>113.5</v>
      </c>
      <c r="T33" s="1">
        <v>110.3</v>
      </c>
      <c r="U33" s="1">
        <v>113</v>
      </c>
      <c r="V33" s="1">
        <v>111.1</v>
      </c>
      <c r="W33" s="1">
        <v>110</v>
      </c>
      <c r="X33" s="1">
        <v>110.9</v>
      </c>
      <c r="Y33" s="1">
        <v>108.6</v>
      </c>
      <c r="Z33" s="1">
        <v>109.5</v>
      </c>
      <c r="AA33" s="1"/>
      <c r="AB33" s="1">
        <v>108.5</v>
      </c>
      <c r="AC33" s="1">
        <v>111.3</v>
      </c>
      <c r="AD33" s="1">
        <v>107.9</v>
      </c>
      <c r="AE33" s="1">
        <v>109.6</v>
      </c>
      <c r="AF33" s="1">
        <v>115</v>
      </c>
    </row>
    <row r="34" spans="1:32" x14ac:dyDescent="0.3">
      <c r="A34" s="1" t="s">
        <v>34</v>
      </c>
      <c r="B34" s="1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f t="shared" si="0"/>
        <v>1538.8</v>
      </c>
      <c r="R34" s="1">
        <v>113.1</v>
      </c>
      <c r="S34" s="1">
        <v>114.2</v>
      </c>
      <c r="T34" s="1">
        <v>111.9</v>
      </c>
      <c r="U34" s="1">
        <v>113.8</v>
      </c>
      <c r="V34" s="1">
        <v>111.1</v>
      </c>
      <c r="W34" s="1">
        <v>111.6</v>
      </c>
      <c r="X34" s="1">
        <v>111.1</v>
      </c>
      <c r="Y34" s="1">
        <v>109.3</v>
      </c>
      <c r="Z34" s="1">
        <v>109.5</v>
      </c>
      <c r="AA34" s="1"/>
      <c r="AB34" s="1">
        <v>108.6</v>
      </c>
      <c r="AC34" s="1">
        <v>111.2</v>
      </c>
      <c r="AD34" s="1">
        <v>108.1</v>
      </c>
      <c r="AE34" s="1">
        <v>109.7</v>
      </c>
      <c r="AF34" s="1">
        <v>116.3</v>
      </c>
    </row>
    <row r="35" spans="1:32" x14ac:dyDescent="0.3">
      <c r="A35" s="1" t="s">
        <v>30</v>
      </c>
      <c r="B35" s="1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f t="shared" si="0"/>
        <v>1509</v>
      </c>
      <c r="R35" s="1">
        <v>113.6</v>
      </c>
      <c r="S35" s="1">
        <v>115.8</v>
      </c>
      <c r="T35" s="1">
        <v>114</v>
      </c>
      <c r="U35" s="1">
        <v>115.5</v>
      </c>
      <c r="V35" s="1" t="s">
        <v>32</v>
      </c>
      <c r="W35" s="1">
        <v>112.8</v>
      </c>
      <c r="X35" s="1">
        <v>112.1</v>
      </c>
      <c r="Y35" s="1">
        <v>110.1</v>
      </c>
      <c r="Z35" s="1">
        <v>109.9</v>
      </c>
      <c r="AA35" s="1"/>
      <c r="AB35" s="1">
        <v>109.2</v>
      </c>
      <c r="AC35" s="1">
        <v>111.6</v>
      </c>
      <c r="AD35" s="1">
        <v>108.1</v>
      </c>
      <c r="AE35" s="1">
        <v>110.1</v>
      </c>
      <c r="AF35" s="1">
        <v>115.5</v>
      </c>
    </row>
    <row r="36" spans="1:32" x14ac:dyDescent="0.3">
      <c r="A36" s="1" t="s">
        <v>33</v>
      </c>
      <c r="B36" s="1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f t="shared" si="0"/>
        <v>1504.4</v>
      </c>
      <c r="R36" s="1">
        <v>115</v>
      </c>
      <c r="S36" s="1">
        <v>114.2</v>
      </c>
      <c r="T36" s="1">
        <v>110.9</v>
      </c>
      <c r="U36" s="1">
        <v>113.7</v>
      </c>
      <c r="V36" s="1">
        <v>110.7</v>
      </c>
      <c r="W36" s="1">
        <v>110.4</v>
      </c>
      <c r="X36" s="1">
        <v>111.3</v>
      </c>
      <c r="Y36" s="1">
        <v>109</v>
      </c>
      <c r="Z36" s="1">
        <v>109.7</v>
      </c>
      <c r="AA36" s="1"/>
      <c r="AB36" s="1">
        <v>108.9</v>
      </c>
      <c r="AC36" s="1">
        <v>111.4</v>
      </c>
      <c r="AD36" s="1">
        <v>107.7</v>
      </c>
      <c r="AE36" s="1">
        <v>109.8</v>
      </c>
      <c r="AF36" s="1">
        <v>113.3</v>
      </c>
    </row>
    <row r="37" spans="1:32" x14ac:dyDescent="0.3">
      <c r="A37" s="1" t="s">
        <v>34</v>
      </c>
      <c r="B37" s="1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f t="shared" si="0"/>
        <v>1507.3000000000002</v>
      </c>
      <c r="R37" s="1">
        <v>114</v>
      </c>
      <c r="S37" s="1">
        <v>115.2</v>
      </c>
      <c r="T37" s="1">
        <v>112.7</v>
      </c>
      <c r="U37" s="1">
        <v>114.8</v>
      </c>
      <c r="V37" s="1">
        <v>110.7</v>
      </c>
      <c r="W37" s="1">
        <v>111.9</v>
      </c>
      <c r="X37" s="1">
        <v>111.7</v>
      </c>
      <c r="Y37" s="1">
        <v>109.7</v>
      </c>
      <c r="Z37" s="1">
        <v>109.8</v>
      </c>
      <c r="AA37" s="1"/>
      <c r="AB37" s="1">
        <v>109</v>
      </c>
      <c r="AC37" s="1">
        <v>111.5</v>
      </c>
      <c r="AD37" s="1">
        <v>107.9</v>
      </c>
      <c r="AE37" s="1">
        <v>110</v>
      </c>
      <c r="AF37" s="1">
        <v>114.5</v>
      </c>
    </row>
    <row r="38" spans="1:32" x14ac:dyDescent="0.3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f t="shared" si="0"/>
        <v>1486.6000000000001</v>
      </c>
      <c r="R38" s="1">
        <v>114</v>
      </c>
      <c r="S38" s="1">
        <v>116.5</v>
      </c>
      <c r="T38" s="1">
        <v>114.5</v>
      </c>
      <c r="U38" s="1">
        <v>116.2</v>
      </c>
      <c r="V38" s="1" t="s">
        <v>32</v>
      </c>
      <c r="W38" s="1">
        <v>113</v>
      </c>
      <c r="X38" s="1">
        <v>112.6</v>
      </c>
      <c r="Y38" s="1">
        <v>110.6</v>
      </c>
      <c r="Z38" s="1">
        <v>110.5</v>
      </c>
      <c r="AA38" s="1"/>
      <c r="AB38" s="1">
        <v>109.6</v>
      </c>
      <c r="AC38" s="1">
        <v>111.8</v>
      </c>
      <c r="AD38" s="1">
        <v>108.3</v>
      </c>
      <c r="AE38" s="1">
        <v>110.6</v>
      </c>
      <c r="AF38" s="1">
        <v>114.2</v>
      </c>
    </row>
    <row r="39" spans="1:32" x14ac:dyDescent="0.3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f t="shared" si="0"/>
        <v>1484.3</v>
      </c>
      <c r="R39" s="1">
        <v>115.7</v>
      </c>
      <c r="S39" s="1">
        <v>114.8</v>
      </c>
      <c r="T39" s="1">
        <v>111.3</v>
      </c>
      <c r="U39" s="1">
        <v>114.3</v>
      </c>
      <c r="V39" s="1">
        <v>111.6</v>
      </c>
      <c r="W39" s="1">
        <v>111</v>
      </c>
      <c r="X39" s="1">
        <v>111.9</v>
      </c>
      <c r="Y39" s="1">
        <v>109.7</v>
      </c>
      <c r="Z39" s="1">
        <v>110.8</v>
      </c>
      <c r="AA39" s="1"/>
      <c r="AB39" s="1">
        <v>109.8</v>
      </c>
      <c r="AC39" s="1">
        <v>111.5</v>
      </c>
      <c r="AD39" s="1">
        <v>108</v>
      </c>
      <c r="AE39" s="1">
        <v>110.5</v>
      </c>
      <c r="AF39" s="1">
        <v>112.9</v>
      </c>
    </row>
    <row r="40" spans="1:32" x14ac:dyDescent="0.3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f t="shared" si="0"/>
        <v>1485.7999999999997</v>
      </c>
      <c r="R40" s="1">
        <v>114.5</v>
      </c>
      <c r="S40" s="1">
        <v>115.8</v>
      </c>
      <c r="T40" s="1">
        <v>113.2</v>
      </c>
      <c r="U40" s="1">
        <v>115.4</v>
      </c>
      <c r="V40" s="1">
        <v>111.6</v>
      </c>
      <c r="W40" s="1">
        <v>112.2</v>
      </c>
      <c r="X40" s="1">
        <v>112.3</v>
      </c>
      <c r="Y40" s="1">
        <v>110.3</v>
      </c>
      <c r="Z40" s="1">
        <v>110.7</v>
      </c>
      <c r="AA40" s="1"/>
      <c r="AB40" s="1">
        <v>109.7</v>
      </c>
      <c r="AC40" s="1">
        <v>111.6</v>
      </c>
      <c r="AD40" s="1">
        <v>108.2</v>
      </c>
      <c r="AE40" s="1">
        <v>110.6</v>
      </c>
      <c r="AF40" s="1">
        <v>113.6</v>
      </c>
    </row>
    <row r="41" spans="1:32" x14ac:dyDescent="0.3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f t="shared" si="0"/>
        <v>1482.2</v>
      </c>
      <c r="R41" s="1">
        <v>114.2</v>
      </c>
      <c r="S41" s="1">
        <v>117.1</v>
      </c>
      <c r="T41" s="1">
        <v>114.5</v>
      </c>
      <c r="U41" s="1">
        <v>116.7</v>
      </c>
      <c r="V41" s="1" t="s">
        <v>32</v>
      </c>
      <c r="W41" s="1">
        <v>113.2</v>
      </c>
      <c r="X41" s="1">
        <v>112.9</v>
      </c>
      <c r="Y41" s="1">
        <v>110.9</v>
      </c>
      <c r="Z41" s="1">
        <v>110.8</v>
      </c>
      <c r="AA41" s="1"/>
      <c r="AB41" s="1">
        <v>109.9</v>
      </c>
      <c r="AC41" s="1">
        <v>112</v>
      </c>
      <c r="AD41" s="1">
        <v>108.7</v>
      </c>
      <c r="AE41" s="1">
        <v>110.9</v>
      </c>
      <c r="AF41" s="1">
        <v>114</v>
      </c>
    </row>
    <row r="42" spans="1:32" x14ac:dyDescent="0.3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f t="shared" si="0"/>
        <v>1476</v>
      </c>
      <c r="R42" s="1">
        <v>116.2</v>
      </c>
      <c r="S42" s="1">
        <v>115.3</v>
      </c>
      <c r="T42" s="1">
        <v>111.7</v>
      </c>
      <c r="U42" s="1">
        <v>114.7</v>
      </c>
      <c r="V42" s="1">
        <v>112.5</v>
      </c>
      <c r="W42" s="1">
        <v>111.1</v>
      </c>
      <c r="X42" s="1">
        <v>112.6</v>
      </c>
      <c r="Y42" s="1">
        <v>110.4</v>
      </c>
      <c r="Z42" s="1">
        <v>111.3</v>
      </c>
      <c r="AA42" s="1"/>
      <c r="AB42" s="1">
        <v>110.3</v>
      </c>
      <c r="AC42" s="1">
        <v>111.6</v>
      </c>
      <c r="AD42" s="1">
        <v>108.7</v>
      </c>
      <c r="AE42" s="1">
        <v>111</v>
      </c>
      <c r="AF42" s="1">
        <v>113.1</v>
      </c>
    </row>
    <row r="43" spans="1:32" x14ac:dyDescent="0.3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f t="shared" si="0"/>
        <v>1480.1</v>
      </c>
      <c r="R43" s="1">
        <v>114.7</v>
      </c>
      <c r="S43" s="1">
        <v>116.4</v>
      </c>
      <c r="T43" s="1">
        <v>113.3</v>
      </c>
      <c r="U43" s="1">
        <v>115.9</v>
      </c>
      <c r="V43" s="1">
        <v>112.5</v>
      </c>
      <c r="W43" s="1">
        <v>112.4</v>
      </c>
      <c r="X43" s="1">
        <v>112.8</v>
      </c>
      <c r="Y43" s="1">
        <v>110.7</v>
      </c>
      <c r="Z43" s="1">
        <v>111.1</v>
      </c>
      <c r="AA43" s="1"/>
      <c r="AB43" s="1">
        <v>110.1</v>
      </c>
      <c r="AC43" s="1">
        <v>111.8</v>
      </c>
      <c r="AD43" s="1">
        <v>108.7</v>
      </c>
      <c r="AE43" s="1">
        <v>110.9</v>
      </c>
      <c r="AF43" s="1">
        <v>113.6</v>
      </c>
    </row>
    <row r="44" spans="1:32" x14ac:dyDescent="0.3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f t="shared" si="0"/>
        <v>1491.4</v>
      </c>
      <c r="R44" s="1">
        <v>114.6</v>
      </c>
      <c r="S44" s="1">
        <v>117.5</v>
      </c>
      <c r="T44" s="1">
        <v>114.9</v>
      </c>
      <c r="U44" s="1">
        <v>117.2</v>
      </c>
      <c r="V44" s="1" t="s">
        <v>32</v>
      </c>
      <c r="W44" s="1">
        <v>113.4</v>
      </c>
      <c r="X44" s="1">
        <v>113.4</v>
      </c>
      <c r="Y44" s="1">
        <v>111.4</v>
      </c>
      <c r="Z44" s="1">
        <v>111.2</v>
      </c>
      <c r="AA44" s="1"/>
      <c r="AB44" s="1">
        <v>110.2</v>
      </c>
      <c r="AC44" s="1">
        <v>112.4</v>
      </c>
      <c r="AD44" s="1">
        <v>108.9</v>
      </c>
      <c r="AE44" s="1">
        <v>111.3</v>
      </c>
      <c r="AF44" s="1">
        <v>114.6</v>
      </c>
    </row>
    <row r="45" spans="1:32" x14ac:dyDescent="0.3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f t="shared" si="0"/>
        <v>1483</v>
      </c>
      <c r="R45" s="1">
        <v>116.7</v>
      </c>
      <c r="S45" s="1">
        <v>115.8</v>
      </c>
      <c r="T45" s="1">
        <v>112.1</v>
      </c>
      <c r="U45" s="1">
        <v>115.2</v>
      </c>
      <c r="V45" s="1">
        <v>113.2</v>
      </c>
      <c r="W45" s="1">
        <v>110.9</v>
      </c>
      <c r="X45" s="1">
        <v>113</v>
      </c>
      <c r="Y45" s="1">
        <v>110.8</v>
      </c>
      <c r="Z45" s="1">
        <v>111.6</v>
      </c>
      <c r="AA45" s="1"/>
      <c r="AB45" s="1">
        <v>110.9</v>
      </c>
      <c r="AC45" s="1">
        <v>111.8</v>
      </c>
      <c r="AD45" s="1">
        <v>109.2</v>
      </c>
      <c r="AE45" s="1">
        <v>111.4</v>
      </c>
      <c r="AF45" s="1">
        <v>113.7</v>
      </c>
    </row>
    <row r="46" spans="1:32" x14ac:dyDescent="0.3">
      <c r="A46" s="1" t="s">
        <v>34</v>
      </c>
      <c r="B46" s="1">
        <v>2014</v>
      </c>
      <c r="C46" s="1" t="s">
        <v>47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f t="shared" si="0"/>
        <v>1488.2999999999997</v>
      </c>
      <c r="R46" s="1">
        <v>115.2</v>
      </c>
      <c r="S46" s="1">
        <v>116.8</v>
      </c>
      <c r="T46" s="1">
        <v>113.7</v>
      </c>
      <c r="U46" s="1">
        <v>116.4</v>
      </c>
      <c r="V46" s="1">
        <v>113.2</v>
      </c>
      <c r="W46" s="1">
        <v>112.5</v>
      </c>
      <c r="X46" s="1">
        <v>113.2</v>
      </c>
      <c r="Y46" s="1">
        <v>111.2</v>
      </c>
      <c r="Z46" s="1">
        <v>111.4</v>
      </c>
      <c r="AA46" s="1"/>
      <c r="AB46" s="1">
        <v>110.6</v>
      </c>
      <c r="AC46" s="1">
        <v>112</v>
      </c>
      <c r="AD46" s="1">
        <v>109</v>
      </c>
      <c r="AE46" s="1">
        <v>111.3</v>
      </c>
      <c r="AF46" s="1">
        <v>114.2</v>
      </c>
    </row>
    <row r="47" spans="1:32" x14ac:dyDescent="0.3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f t="shared" si="0"/>
        <v>1504.1000000000001</v>
      </c>
      <c r="R47" s="1">
        <v>115.4</v>
      </c>
      <c r="S47" s="1">
        <v>118.1</v>
      </c>
      <c r="T47" s="1">
        <v>116.1</v>
      </c>
      <c r="U47" s="1">
        <v>117.8</v>
      </c>
      <c r="V47" s="1" t="s">
        <v>32</v>
      </c>
      <c r="W47" s="1">
        <v>113.4</v>
      </c>
      <c r="X47" s="1">
        <v>113.7</v>
      </c>
      <c r="Y47" s="1">
        <v>111.8</v>
      </c>
      <c r="Z47" s="1">
        <v>111.2</v>
      </c>
      <c r="AA47" s="1"/>
      <c r="AB47" s="1">
        <v>110.5</v>
      </c>
      <c r="AC47" s="1">
        <v>113</v>
      </c>
      <c r="AD47" s="1">
        <v>108.9</v>
      </c>
      <c r="AE47" s="1">
        <v>111.5</v>
      </c>
      <c r="AF47" s="1">
        <v>115.4</v>
      </c>
    </row>
    <row r="48" spans="1:32" x14ac:dyDescent="0.3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f t="shared" si="0"/>
        <v>1504.0000000000002</v>
      </c>
      <c r="R48" s="1">
        <v>117.6</v>
      </c>
      <c r="S48" s="1">
        <v>116.3</v>
      </c>
      <c r="T48" s="1">
        <v>112.5</v>
      </c>
      <c r="U48" s="1">
        <v>115.7</v>
      </c>
      <c r="V48" s="1">
        <v>113.9</v>
      </c>
      <c r="W48" s="1">
        <v>110.9</v>
      </c>
      <c r="X48" s="1">
        <v>113.4</v>
      </c>
      <c r="Y48" s="1">
        <v>111</v>
      </c>
      <c r="Z48" s="1">
        <v>111.2</v>
      </c>
      <c r="AA48" s="1"/>
      <c r="AB48" s="1">
        <v>111.2</v>
      </c>
      <c r="AC48" s="1">
        <v>112.5</v>
      </c>
      <c r="AD48" s="1">
        <v>109.1</v>
      </c>
      <c r="AE48" s="1">
        <v>111.4</v>
      </c>
      <c r="AF48" s="1">
        <v>114.7</v>
      </c>
    </row>
    <row r="49" spans="1:32" x14ac:dyDescent="0.3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f t="shared" si="0"/>
        <v>1504.1</v>
      </c>
      <c r="R49" s="1">
        <v>116</v>
      </c>
      <c r="S49" s="1">
        <v>117.4</v>
      </c>
      <c r="T49" s="1">
        <v>114.6</v>
      </c>
      <c r="U49" s="1">
        <v>117</v>
      </c>
      <c r="V49" s="1">
        <v>113.9</v>
      </c>
      <c r="W49" s="1">
        <v>112.5</v>
      </c>
      <c r="X49" s="1">
        <v>113.6</v>
      </c>
      <c r="Y49" s="1">
        <v>111.5</v>
      </c>
      <c r="Z49" s="1">
        <v>111.2</v>
      </c>
      <c r="AA49" s="1"/>
      <c r="AB49" s="1">
        <v>110.9</v>
      </c>
      <c r="AC49" s="1">
        <v>112.7</v>
      </c>
      <c r="AD49" s="1">
        <v>109</v>
      </c>
      <c r="AE49" s="1">
        <v>111.5</v>
      </c>
      <c r="AF49" s="1">
        <v>115.1</v>
      </c>
    </row>
    <row r="50" spans="1:32" x14ac:dyDescent="0.3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f t="shared" si="0"/>
        <v>1513.8999999999999</v>
      </c>
      <c r="R50" s="1">
        <v>116.3</v>
      </c>
      <c r="S50" s="1">
        <v>118.7</v>
      </c>
      <c r="T50" s="1">
        <v>116.8</v>
      </c>
      <c r="U50" s="1">
        <v>118.5</v>
      </c>
      <c r="V50" s="1" t="s">
        <v>32</v>
      </c>
      <c r="W50" s="1">
        <v>113.4</v>
      </c>
      <c r="X50" s="1">
        <v>114.1</v>
      </c>
      <c r="Y50" s="1">
        <v>112.1</v>
      </c>
      <c r="Z50" s="1">
        <v>111.4</v>
      </c>
      <c r="AA50" s="1"/>
      <c r="AB50" s="1">
        <v>110.9</v>
      </c>
      <c r="AC50" s="1">
        <v>113.1</v>
      </c>
      <c r="AD50" s="1">
        <v>108.9</v>
      </c>
      <c r="AE50" s="1">
        <v>111.8</v>
      </c>
      <c r="AF50" s="1">
        <v>116</v>
      </c>
    </row>
    <row r="51" spans="1:32" x14ac:dyDescent="0.3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f t="shared" si="0"/>
        <v>1525.3000000000002</v>
      </c>
      <c r="R51" s="1">
        <v>118.3</v>
      </c>
      <c r="S51" s="1">
        <v>116.8</v>
      </c>
      <c r="T51" s="1">
        <v>112.9</v>
      </c>
      <c r="U51" s="1">
        <v>116.2</v>
      </c>
      <c r="V51" s="1">
        <v>114.3</v>
      </c>
      <c r="W51" s="1">
        <v>111.1</v>
      </c>
      <c r="X51" s="1">
        <v>114.1</v>
      </c>
      <c r="Y51" s="1">
        <v>111.2</v>
      </c>
      <c r="Z51" s="1">
        <v>111.3</v>
      </c>
      <c r="AA51" s="1"/>
      <c r="AB51" s="1">
        <v>111.5</v>
      </c>
      <c r="AC51" s="1">
        <v>112.9</v>
      </c>
      <c r="AD51" s="1">
        <v>109.3</v>
      </c>
      <c r="AE51" s="1">
        <v>111.7</v>
      </c>
      <c r="AF51" s="1">
        <v>115.6</v>
      </c>
    </row>
    <row r="52" spans="1:32" x14ac:dyDescent="0.3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f t="shared" si="0"/>
        <v>1518.5000000000005</v>
      </c>
      <c r="R52" s="1">
        <v>116.8</v>
      </c>
      <c r="S52" s="1">
        <v>118</v>
      </c>
      <c r="T52" s="1">
        <v>115.2</v>
      </c>
      <c r="U52" s="1">
        <v>117.6</v>
      </c>
      <c r="V52" s="1">
        <v>114.3</v>
      </c>
      <c r="W52" s="1">
        <v>112.5</v>
      </c>
      <c r="X52" s="1">
        <v>114.1</v>
      </c>
      <c r="Y52" s="1">
        <v>111.8</v>
      </c>
      <c r="Z52" s="1">
        <v>111.3</v>
      </c>
      <c r="AA52" s="1"/>
      <c r="AB52" s="1">
        <v>111.2</v>
      </c>
      <c r="AC52" s="1">
        <v>113</v>
      </c>
      <c r="AD52" s="1">
        <v>109.1</v>
      </c>
      <c r="AE52" s="1">
        <v>111.8</v>
      </c>
      <c r="AF52" s="1">
        <v>115.8</v>
      </c>
    </row>
    <row r="53" spans="1:32" x14ac:dyDescent="0.3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f t="shared" si="0"/>
        <v>1525.6999999999998</v>
      </c>
      <c r="R53" s="1">
        <v>117.3</v>
      </c>
      <c r="S53" s="1">
        <v>119.7</v>
      </c>
      <c r="T53" s="1">
        <v>117.3</v>
      </c>
      <c r="U53" s="1">
        <v>119.3</v>
      </c>
      <c r="V53" s="1" t="s">
        <v>32</v>
      </c>
      <c r="W53" s="1">
        <v>114.4</v>
      </c>
      <c r="X53" s="1">
        <v>114.9</v>
      </c>
      <c r="Y53" s="1">
        <v>112.8</v>
      </c>
      <c r="Z53" s="1">
        <v>112.2</v>
      </c>
      <c r="AA53" s="1"/>
      <c r="AB53" s="1">
        <v>111.4</v>
      </c>
      <c r="AC53" s="1">
        <v>114.3</v>
      </c>
      <c r="AD53" s="1">
        <v>108</v>
      </c>
      <c r="AE53" s="1">
        <v>112.3</v>
      </c>
      <c r="AF53" s="1">
        <v>117</v>
      </c>
    </row>
    <row r="54" spans="1:32" x14ac:dyDescent="0.3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f t="shared" si="0"/>
        <v>1547</v>
      </c>
      <c r="R54" s="1">
        <v>119</v>
      </c>
      <c r="S54" s="1">
        <v>117.4</v>
      </c>
      <c r="T54" s="1">
        <v>113.2</v>
      </c>
      <c r="U54" s="1">
        <v>116.7</v>
      </c>
      <c r="V54" s="1">
        <v>113.9</v>
      </c>
      <c r="W54" s="1">
        <v>111.2</v>
      </c>
      <c r="X54" s="1">
        <v>114.3</v>
      </c>
      <c r="Y54" s="1">
        <v>111.4</v>
      </c>
      <c r="Z54" s="1">
        <v>111.5</v>
      </c>
      <c r="AA54" s="1"/>
      <c r="AB54" s="1">
        <v>111.8</v>
      </c>
      <c r="AC54" s="1">
        <v>115.1</v>
      </c>
      <c r="AD54" s="1">
        <v>108.7</v>
      </c>
      <c r="AE54" s="1">
        <v>112.2</v>
      </c>
      <c r="AF54" s="1">
        <v>116.4</v>
      </c>
    </row>
    <row r="55" spans="1:32" x14ac:dyDescent="0.3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f t="shared" si="0"/>
        <v>1533.7000000000003</v>
      </c>
      <c r="R55" s="1">
        <v>117.8</v>
      </c>
      <c r="S55" s="1">
        <v>118.8</v>
      </c>
      <c r="T55" s="1">
        <v>115.6</v>
      </c>
      <c r="U55" s="1">
        <v>118.3</v>
      </c>
      <c r="V55" s="1">
        <v>113.9</v>
      </c>
      <c r="W55" s="1">
        <v>113.2</v>
      </c>
      <c r="X55" s="1">
        <v>114.6</v>
      </c>
      <c r="Y55" s="1">
        <v>112.3</v>
      </c>
      <c r="Z55" s="1">
        <v>111.8</v>
      </c>
      <c r="AA55" s="1"/>
      <c r="AB55" s="1">
        <v>111.6</v>
      </c>
      <c r="AC55" s="1">
        <v>114.8</v>
      </c>
      <c r="AD55" s="1">
        <v>108.3</v>
      </c>
      <c r="AE55" s="1">
        <v>112.3</v>
      </c>
      <c r="AF55" s="1">
        <v>116.7</v>
      </c>
    </row>
    <row r="56" spans="1:32" x14ac:dyDescent="0.3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f t="shared" si="0"/>
        <v>1563.2</v>
      </c>
      <c r="R56" s="1">
        <v>118</v>
      </c>
      <c r="S56" s="1">
        <v>120.7</v>
      </c>
      <c r="T56" s="1">
        <v>118.3</v>
      </c>
      <c r="U56" s="1">
        <v>120.3</v>
      </c>
      <c r="V56" s="1" t="s">
        <v>32</v>
      </c>
      <c r="W56" s="1">
        <v>115.3</v>
      </c>
      <c r="X56" s="1">
        <v>115.4</v>
      </c>
      <c r="Y56" s="1">
        <v>113.4</v>
      </c>
      <c r="Z56" s="1">
        <v>113.2</v>
      </c>
      <c r="AA56" s="1"/>
      <c r="AB56" s="1">
        <v>111.8</v>
      </c>
      <c r="AC56" s="1">
        <v>115.5</v>
      </c>
      <c r="AD56" s="1">
        <v>108.8</v>
      </c>
      <c r="AE56" s="1">
        <v>113.1</v>
      </c>
      <c r="AF56" s="1">
        <v>119.5</v>
      </c>
    </row>
    <row r="57" spans="1:32" x14ac:dyDescent="0.3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f t="shared" si="0"/>
        <v>1599.5</v>
      </c>
      <c r="R57" s="1">
        <v>121</v>
      </c>
      <c r="S57" s="1">
        <v>118</v>
      </c>
      <c r="T57" s="1">
        <v>113.6</v>
      </c>
      <c r="U57" s="1">
        <v>117.4</v>
      </c>
      <c r="V57" s="1">
        <v>114.8</v>
      </c>
      <c r="W57" s="1">
        <v>111.6</v>
      </c>
      <c r="X57" s="1">
        <v>114.9</v>
      </c>
      <c r="Y57" s="1">
        <v>111.5</v>
      </c>
      <c r="Z57" s="1">
        <v>113</v>
      </c>
      <c r="AA57" s="1"/>
      <c r="AB57" s="1">
        <v>112.4</v>
      </c>
      <c r="AC57" s="1">
        <v>117.8</v>
      </c>
      <c r="AD57" s="1">
        <v>109.7</v>
      </c>
      <c r="AE57" s="1">
        <v>113.5</v>
      </c>
      <c r="AF57" s="1">
        <v>118.9</v>
      </c>
    </row>
    <row r="58" spans="1:32" x14ac:dyDescent="0.3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f t="shared" si="0"/>
        <v>1576.3</v>
      </c>
      <c r="R58" s="1">
        <v>118.8</v>
      </c>
      <c r="S58" s="1">
        <v>119.6</v>
      </c>
      <c r="T58" s="1">
        <v>116.3</v>
      </c>
      <c r="U58" s="1">
        <v>119.1</v>
      </c>
      <c r="V58" s="1">
        <v>114.8</v>
      </c>
      <c r="W58" s="1">
        <v>113.9</v>
      </c>
      <c r="X58" s="1">
        <v>115.2</v>
      </c>
      <c r="Y58" s="1">
        <v>112.7</v>
      </c>
      <c r="Z58" s="1">
        <v>113.1</v>
      </c>
      <c r="AA58" s="1"/>
      <c r="AB58" s="1">
        <v>112.1</v>
      </c>
      <c r="AC58" s="1">
        <v>116.8</v>
      </c>
      <c r="AD58" s="1">
        <v>109.2</v>
      </c>
      <c r="AE58" s="1">
        <v>113.3</v>
      </c>
      <c r="AF58" s="1">
        <v>119.2</v>
      </c>
    </row>
    <row r="59" spans="1:32" x14ac:dyDescent="0.3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f t="shared" si="0"/>
        <v>1582.2999999999997</v>
      </c>
      <c r="R59" s="1">
        <v>118.8</v>
      </c>
      <c r="S59" s="1">
        <v>120.9</v>
      </c>
      <c r="T59" s="1">
        <v>118.8</v>
      </c>
      <c r="U59" s="1">
        <v>120.7</v>
      </c>
      <c r="V59" s="1" t="s">
        <v>32</v>
      </c>
      <c r="W59" s="1">
        <v>115.4</v>
      </c>
      <c r="X59" s="1">
        <v>115.9</v>
      </c>
      <c r="Y59" s="1">
        <v>114</v>
      </c>
      <c r="Z59" s="1">
        <v>113.2</v>
      </c>
      <c r="AA59" s="1"/>
      <c r="AB59" s="1">
        <v>112.2</v>
      </c>
      <c r="AC59" s="1">
        <v>116.2</v>
      </c>
      <c r="AD59" s="1">
        <v>109.4</v>
      </c>
      <c r="AE59" s="1">
        <v>113.5</v>
      </c>
      <c r="AF59" s="1">
        <v>120.7</v>
      </c>
    </row>
    <row r="60" spans="1:32" x14ac:dyDescent="0.3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f t="shared" si="0"/>
        <v>1617</v>
      </c>
      <c r="R60" s="1">
        <v>123</v>
      </c>
      <c r="S60" s="1">
        <v>118.6</v>
      </c>
      <c r="T60" s="1">
        <v>114.1</v>
      </c>
      <c r="U60" s="1">
        <v>117.9</v>
      </c>
      <c r="V60" s="1">
        <v>115.5</v>
      </c>
      <c r="W60" s="1">
        <v>111.8</v>
      </c>
      <c r="X60" s="1">
        <v>115.3</v>
      </c>
      <c r="Y60" s="1">
        <v>112.2</v>
      </c>
      <c r="Z60" s="1">
        <v>112.5</v>
      </c>
      <c r="AA60" s="1"/>
      <c r="AB60" s="1">
        <v>112.9</v>
      </c>
      <c r="AC60" s="1">
        <v>119.2</v>
      </c>
      <c r="AD60" s="1">
        <v>110.5</v>
      </c>
      <c r="AE60" s="1">
        <v>113.9</v>
      </c>
      <c r="AF60" s="1">
        <v>119.9</v>
      </c>
    </row>
    <row r="61" spans="1:32" x14ac:dyDescent="0.3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f t="shared" si="0"/>
        <v>1594.4999999999998</v>
      </c>
      <c r="R61" s="1">
        <v>119.9</v>
      </c>
      <c r="S61" s="1">
        <v>120</v>
      </c>
      <c r="T61" s="1">
        <v>116.8</v>
      </c>
      <c r="U61" s="1">
        <v>119.6</v>
      </c>
      <c r="V61" s="1">
        <v>115.5</v>
      </c>
      <c r="W61" s="1">
        <v>114</v>
      </c>
      <c r="X61" s="1">
        <v>115.6</v>
      </c>
      <c r="Y61" s="1">
        <v>113.3</v>
      </c>
      <c r="Z61" s="1">
        <v>112.8</v>
      </c>
      <c r="AA61" s="1"/>
      <c r="AB61" s="1">
        <v>112.6</v>
      </c>
      <c r="AC61" s="1">
        <v>118</v>
      </c>
      <c r="AD61" s="1">
        <v>109.9</v>
      </c>
      <c r="AE61" s="1">
        <v>113.7</v>
      </c>
      <c r="AF61" s="1">
        <v>120.3</v>
      </c>
    </row>
    <row r="62" spans="1:32" x14ac:dyDescent="0.3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f t="shared" si="0"/>
        <v>1583.2</v>
      </c>
      <c r="R62" s="1">
        <v>119.5</v>
      </c>
      <c r="S62" s="1">
        <v>121.7</v>
      </c>
      <c r="T62" s="1">
        <v>119.2</v>
      </c>
      <c r="U62" s="1">
        <v>121.3</v>
      </c>
      <c r="V62" s="1" t="s">
        <v>32</v>
      </c>
      <c r="W62" s="1">
        <v>115.8</v>
      </c>
      <c r="X62" s="1">
        <v>116.7</v>
      </c>
      <c r="Y62" s="1">
        <v>114.5</v>
      </c>
      <c r="Z62" s="1">
        <v>112.8</v>
      </c>
      <c r="AA62" s="1"/>
      <c r="AB62" s="1">
        <v>112.6</v>
      </c>
      <c r="AC62" s="1">
        <v>116.6</v>
      </c>
      <c r="AD62" s="1">
        <v>109.1</v>
      </c>
      <c r="AE62" s="1">
        <v>113.7</v>
      </c>
      <c r="AF62" s="1">
        <v>120.9</v>
      </c>
    </row>
    <row r="63" spans="1:32" x14ac:dyDescent="0.3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f t="shared" si="0"/>
        <v>1593.7000000000003</v>
      </c>
      <c r="R63" s="1">
        <v>124.3</v>
      </c>
      <c r="S63" s="1">
        <v>119.2</v>
      </c>
      <c r="T63" s="1">
        <v>114.5</v>
      </c>
      <c r="U63" s="1">
        <v>118.4</v>
      </c>
      <c r="V63" s="1">
        <v>116.1</v>
      </c>
      <c r="W63" s="1">
        <v>111.8</v>
      </c>
      <c r="X63" s="1">
        <v>115.5</v>
      </c>
      <c r="Y63" s="1">
        <v>112.3</v>
      </c>
      <c r="Z63" s="1">
        <v>111.2</v>
      </c>
      <c r="AA63" s="1"/>
      <c r="AB63" s="1">
        <v>113.4</v>
      </c>
      <c r="AC63" s="1">
        <v>120</v>
      </c>
      <c r="AD63" s="1">
        <v>110</v>
      </c>
      <c r="AE63" s="1">
        <v>113.6</v>
      </c>
      <c r="AF63" s="1">
        <v>119.2</v>
      </c>
    </row>
    <row r="64" spans="1:32" x14ac:dyDescent="0.3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f t="shared" si="0"/>
        <v>1586.0999999999997</v>
      </c>
      <c r="R64" s="1">
        <v>120.8</v>
      </c>
      <c r="S64" s="1">
        <v>120.7</v>
      </c>
      <c r="T64" s="1">
        <v>117.2</v>
      </c>
      <c r="U64" s="1">
        <v>120.1</v>
      </c>
      <c r="V64" s="1">
        <v>116.1</v>
      </c>
      <c r="W64" s="1">
        <v>114.3</v>
      </c>
      <c r="X64" s="1">
        <v>116.1</v>
      </c>
      <c r="Y64" s="1">
        <v>113.7</v>
      </c>
      <c r="Z64" s="1">
        <v>112</v>
      </c>
      <c r="AA64" s="1"/>
      <c r="AB64" s="1">
        <v>113.1</v>
      </c>
      <c r="AC64" s="1">
        <v>118.6</v>
      </c>
      <c r="AD64" s="1">
        <v>109.5</v>
      </c>
      <c r="AE64" s="1">
        <v>113.7</v>
      </c>
      <c r="AF64" s="1">
        <v>120.1</v>
      </c>
    </row>
    <row r="65" spans="1:32" x14ac:dyDescent="0.3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f t="shared" si="0"/>
        <v>1581.1999999999998</v>
      </c>
      <c r="R65" s="1">
        <v>120</v>
      </c>
      <c r="S65" s="1">
        <v>122.7</v>
      </c>
      <c r="T65" s="1">
        <v>120.3</v>
      </c>
      <c r="U65" s="1">
        <v>122.3</v>
      </c>
      <c r="V65" s="1" t="s">
        <v>32</v>
      </c>
      <c r="W65" s="1">
        <v>116.4</v>
      </c>
      <c r="X65" s="1">
        <v>117.5</v>
      </c>
      <c r="Y65" s="1">
        <v>115.3</v>
      </c>
      <c r="Z65" s="1">
        <v>112.6</v>
      </c>
      <c r="AA65" s="1"/>
      <c r="AB65" s="1">
        <v>113</v>
      </c>
      <c r="AC65" s="1">
        <v>116.9</v>
      </c>
      <c r="AD65" s="1">
        <v>109.3</v>
      </c>
      <c r="AE65" s="1">
        <v>114</v>
      </c>
      <c r="AF65" s="1">
        <v>121</v>
      </c>
    </row>
    <row r="66" spans="1:32" x14ac:dyDescent="0.3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f t="shared" si="0"/>
        <v>1587.5</v>
      </c>
      <c r="R66" s="1">
        <v>124.3</v>
      </c>
      <c r="S66" s="1">
        <v>119.6</v>
      </c>
      <c r="T66" s="1">
        <v>114.9</v>
      </c>
      <c r="U66" s="1">
        <v>118.9</v>
      </c>
      <c r="V66" s="1">
        <v>116.7</v>
      </c>
      <c r="W66" s="1">
        <v>112</v>
      </c>
      <c r="X66" s="1">
        <v>115.8</v>
      </c>
      <c r="Y66" s="1">
        <v>112.6</v>
      </c>
      <c r="Z66" s="1">
        <v>111</v>
      </c>
      <c r="AA66" s="1"/>
      <c r="AB66" s="1">
        <v>113.6</v>
      </c>
      <c r="AC66" s="1">
        <v>120.2</v>
      </c>
      <c r="AD66" s="1">
        <v>110.1</v>
      </c>
      <c r="AE66" s="1">
        <v>113.7</v>
      </c>
      <c r="AF66" s="1">
        <v>119.1</v>
      </c>
    </row>
    <row r="67" spans="1:32" x14ac:dyDescent="0.3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f t="shared" ref="Q67:Q130" si="1">SUM(D67:P67)</f>
        <v>1582.7</v>
      </c>
      <c r="R67" s="1">
        <v>121.1</v>
      </c>
      <c r="S67" s="1">
        <v>121.5</v>
      </c>
      <c r="T67" s="1">
        <v>118.1</v>
      </c>
      <c r="U67" s="1">
        <v>121</v>
      </c>
      <c r="V67" s="1">
        <v>116.7</v>
      </c>
      <c r="W67" s="1">
        <v>114.7</v>
      </c>
      <c r="X67" s="1">
        <v>116.7</v>
      </c>
      <c r="Y67" s="1">
        <v>114.3</v>
      </c>
      <c r="Z67" s="1">
        <v>111.8</v>
      </c>
      <c r="AA67" s="1"/>
      <c r="AB67" s="1">
        <v>113.3</v>
      </c>
      <c r="AC67" s="1">
        <v>118.8</v>
      </c>
      <c r="AD67" s="1">
        <v>109.6</v>
      </c>
      <c r="AE67" s="1">
        <v>113.9</v>
      </c>
      <c r="AF67" s="1">
        <v>120.1</v>
      </c>
    </row>
    <row r="68" spans="1:32" x14ac:dyDescent="0.3">
      <c r="A68" s="1" t="s">
        <v>30</v>
      </c>
      <c r="B68" s="1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f t="shared" si="1"/>
        <v>1582</v>
      </c>
      <c r="R68" s="1">
        <v>120.8</v>
      </c>
      <c r="S68" s="1">
        <v>123.3</v>
      </c>
      <c r="T68" s="1">
        <v>120.5</v>
      </c>
      <c r="U68" s="1">
        <v>122.9</v>
      </c>
      <c r="V68" s="1" t="s">
        <v>32</v>
      </c>
      <c r="W68" s="1">
        <v>117.3</v>
      </c>
      <c r="X68" s="1">
        <v>118.1</v>
      </c>
      <c r="Y68" s="1">
        <v>115.9</v>
      </c>
      <c r="Z68" s="1">
        <v>112</v>
      </c>
      <c r="AA68" s="1"/>
      <c r="AB68" s="1">
        <v>113.3</v>
      </c>
      <c r="AC68" s="1">
        <v>117.2</v>
      </c>
      <c r="AD68" s="1">
        <v>108.8</v>
      </c>
      <c r="AE68" s="1">
        <v>114.1</v>
      </c>
      <c r="AF68" s="1">
        <v>121.1</v>
      </c>
    </row>
    <row r="69" spans="1:32" x14ac:dyDescent="0.3">
      <c r="A69" s="1" t="s">
        <v>33</v>
      </c>
      <c r="B69" s="1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f t="shared" si="1"/>
        <v>1587.8</v>
      </c>
      <c r="R69" s="1">
        <v>125.8</v>
      </c>
      <c r="S69" s="1">
        <v>120.3</v>
      </c>
      <c r="T69" s="1">
        <v>115.4</v>
      </c>
      <c r="U69" s="1">
        <v>119.5</v>
      </c>
      <c r="V69" s="1">
        <v>117.1</v>
      </c>
      <c r="W69" s="1">
        <v>112.6</v>
      </c>
      <c r="X69" s="1">
        <v>116.4</v>
      </c>
      <c r="Y69" s="1">
        <v>113</v>
      </c>
      <c r="Z69" s="1">
        <v>109.7</v>
      </c>
      <c r="AA69" s="1"/>
      <c r="AB69" s="1">
        <v>114</v>
      </c>
      <c r="AC69" s="1">
        <v>120.3</v>
      </c>
      <c r="AD69" s="1">
        <v>109.6</v>
      </c>
      <c r="AE69" s="1">
        <v>113.4</v>
      </c>
      <c r="AF69" s="1">
        <v>119</v>
      </c>
    </row>
    <row r="70" spans="1:32" x14ac:dyDescent="0.3">
      <c r="A70" s="1" t="s">
        <v>34</v>
      </c>
      <c r="B70" s="1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f t="shared" si="1"/>
        <v>1583.2</v>
      </c>
      <c r="R70" s="1">
        <v>122.1</v>
      </c>
      <c r="S70" s="1">
        <v>122.1</v>
      </c>
      <c r="T70" s="1">
        <v>118.4</v>
      </c>
      <c r="U70" s="1">
        <v>121.6</v>
      </c>
      <c r="V70" s="1">
        <v>117.1</v>
      </c>
      <c r="W70" s="1">
        <v>115.5</v>
      </c>
      <c r="X70" s="1">
        <v>117.3</v>
      </c>
      <c r="Y70" s="1">
        <v>114.8</v>
      </c>
      <c r="Z70" s="1">
        <v>110.8</v>
      </c>
      <c r="AA70" s="1"/>
      <c r="AB70" s="1">
        <v>113.7</v>
      </c>
      <c r="AC70" s="1">
        <v>119</v>
      </c>
      <c r="AD70" s="1">
        <v>109.1</v>
      </c>
      <c r="AE70" s="1">
        <v>113.8</v>
      </c>
      <c r="AF70" s="1">
        <v>120.1</v>
      </c>
    </row>
    <row r="71" spans="1:32" x14ac:dyDescent="0.3">
      <c r="A71" s="1" t="s">
        <v>30</v>
      </c>
      <c r="B71" s="1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f t="shared" si="1"/>
        <v>1569.6</v>
      </c>
      <c r="R71" s="1">
        <v>121.7</v>
      </c>
      <c r="S71" s="1">
        <v>123.8</v>
      </c>
      <c r="T71" s="1">
        <v>120.6</v>
      </c>
      <c r="U71" s="1">
        <v>123.3</v>
      </c>
      <c r="V71" s="1" t="s">
        <v>32</v>
      </c>
      <c r="W71" s="1">
        <v>117.4</v>
      </c>
      <c r="X71" s="1">
        <v>118.2</v>
      </c>
      <c r="Y71" s="1">
        <v>116.2</v>
      </c>
      <c r="Z71" s="1">
        <v>111.5</v>
      </c>
      <c r="AA71" s="1"/>
      <c r="AB71" s="1">
        <v>113.3</v>
      </c>
      <c r="AC71" s="1">
        <v>117.7</v>
      </c>
      <c r="AD71" s="1">
        <v>109.4</v>
      </c>
      <c r="AE71" s="1">
        <v>114.2</v>
      </c>
      <c r="AF71" s="1">
        <v>120.3</v>
      </c>
    </row>
    <row r="72" spans="1:32" x14ac:dyDescent="0.3">
      <c r="A72" s="1" t="s">
        <v>33</v>
      </c>
      <c r="B72" s="1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f t="shared" si="1"/>
        <v>1577.1999999999998</v>
      </c>
      <c r="R72" s="1">
        <v>126.4</v>
      </c>
      <c r="S72" s="1">
        <v>120.7</v>
      </c>
      <c r="T72" s="1">
        <v>115.8</v>
      </c>
      <c r="U72" s="1">
        <v>120</v>
      </c>
      <c r="V72" s="1">
        <v>116.5</v>
      </c>
      <c r="W72" s="1">
        <v>113</v>
      </c>
      <c r="X72" s="1">
        <v>116.8</v>
      </c>
      <c r="Y72" s="1">
        <v>113.2</v>
      </c>
      <c r="Z72" s="1">
        <v>108.8</v>
      </c>
      <c r="AA72" s="1"/>
      <c r="AB72" s="1">
        <v>114.3</v>
      </c>
      <c r="AC72" s="1">
        <v>120.7</v>
      </c>
      <c r="AD72" s="1">
        <v>110.4</v>
      </c>
      <c r="AE72" s="1">
        <v>113.4</v>
      </c>
      <c r="AF72" s="1">
        <v>118.4</v>
      </c>
    </row>
    <row r="73" spans="1:32" x14ac:dyDescent="0.3">
      <c r="A73" s="1" t="s">
        <v>34</v>
      </c>
      <c r="B73" s="1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f t="shared" si="1"/>
        <v>1571.6999999999998</v>
      </c>
      <c r="R73" s="1">
        <v>123</v>
      </c>
      <c r="S73" s="1">
        <v>122.6</v>
      </c>
      <c r="T73" s="1">
        <v>118.6</v>
      </c>
      <c r="U73" s="1">
        <v>122</v>
      </c>
      <c r="V73" s="1">
        <v>116.5</v>
      </c>
      <c r="W73" s="1">
        <v>115.7</v>
      </c>
      <c r="X73" s="1">
        <v>117.5</v>
      </c>
      <c r="Y73" s="1">
        <v>115.1</v>
      </c>
      <c r="Z73" s="1">
        <v>110.1</v>
      </c>
      <c r="AA73" s="1"/>
      <c r="AB73" s="1">
        <v>113.9</v>
      </c>
      <c r="AC73" s="1">
        <v>119.5</v>
      </c>
      <c r="AD73" s="1">
        <v>109.8</v>
      </c>
      <c r="AE73" s="1">
        <v>113.8</v>
      </c>
      <c r="AF73" s="1">
        <v>119.4</v>
      </c>
    </row>
    <row r="74" spans="1:32" x14ac:dyDescent="0.3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f t="shared" si="1"/>
        <v>1568.1</v>
      </c>
      <c r="R74" s="1">
        <v>122.7</v>
      </c>
      <c r="S74" s="1">
        <v>124.4</v>
      </c>
      <c r="T74" s="1">
        <v>121.6</v>
      </c>
      <c r="U74" s="1">
        <v>124</v>
      </c>
      <c r="V74" s="1" t="s">
        <v>32</v>
      </c>
      <c r="W74" s="1">
        <v>118.4</v>
      </c>
      <c r="X74" s="1">
        <v>118.9</v>
      </c>
      <c r="Y74" s="1">
        <v>116.6</v>
      </c>
      <c r="Z74" s="1">
        <v>111</v>
      </c>
      <c r="AA74" s="1"/>
      <c r="AB74" s="1">
        <v>114</v>
      </c>
      <c r="AC74" s="1">
        <v>118.2</v>
      </c>
      <c r="AD74" s="1">
        <v>110.2</v>
      </c>
      <c r="AE74" s="1">
        <v>114.5</v>
      </c>
      <c r="AF74" s="1">
        <v>120.3</v>
      </c>
    </row>
    <row r="75" spans="1:32" x14ac:dyDescent="0.3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f t="shared" si="1"/>
        <v>1574.8999999999999</v>
      </c>
      <c r="R75" s="1">
        <v>127.4</v>
      </c>
      <c r="S75" s="1">
        <v>121</v>
      </c>
      <c r="T75" s="1">
        <v>116.1</v>
      </c>
      <c r="U75" s="1">
        <v>120.2</v>
      </c>
      <c r="V75" s="1">
        <v>117.3</v>
      </c>
      <c r="W75" s="1">
        <v>113.4</v>
      </c>
      <c r="X75" s="1">
        <v>117.2</v>
      </c>
      <c r="Y75" s="1">
        <v>113.7</v>
      </c>
      <c r="Z75" s="1">
        <v>107.9</v>
      </c>
      <c r="AA75" s="1"/>
      <c r="AB75" s="1">
        <v>114.6</v>
      </c>
      <c r="AC75" s="1">
        <v>120.8</v>
      </c>
      <c r="AD75" s="1">
        <v>111.4</v>
      </c>
      <c r="AE75" s="1">
        <v>113.4</v>
      </c>
      <c r="AF75" s="1">
        <v>118.5</v>
      </c>
    </row>
    <row r="76" spans="1:32" x14ac:dyDescent="0.3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f t="shared" si="1"/>
        <v>1569.3</v>
      </c>
      <c r="R76" s="1">
        <v>124</v>
      </c>
      <c r="S76" s="1">
        <v>123.1</v>
      </c>
      <c r="T76" s="1">
        <v>119.3</v>
      </c>
      <c r="U76" s="1">
        <v>122.5</v>
      </c>
      <c r="V76" s="1">
        <v>117.3</v>
      </c>
      <c r="W76" s="1">
        <v>116.5</v>
      </c>
      <c r="X76" s="1">
        <v>118.1</v>
      </c>
      <c r="Y76" s="1">
        <v>115.5</v>
      </c>
      <c r="Z76" s="1">
        <v>109.4</v>
      </c>
      <c r="AA76" s="1"/>
      <c r="AB76" s="1">
        <v>114.3</v>
      </c>
      <c r="AC76" s="1">
        <v>119.7</v>
      </c>
      <c r="AD76" s="1">
        <v>110.7</v>
      </c>
      <c r="AE76" s="1">
        <v>114</v>
      </c>
      <c r="AF76" s="1">
        <v>119.5</v>
      </c>
    </row>
    <row r="77" spans="1:32" x14ac:dyDescent="0.3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f t="shared" si="1"/>
        <v>1570.5999999999997</v>
      </c>
      <c r="R77" s="1">
        <v>124.2</v>
      </c>
      <c r="S77" s="1">
        <v>125.4</v>
      </c>
      <c r="T77" s="1">
        <v>122.7</v>
      </c>
      <c r="U77" s="1">
        <v>125</v>
      </c>
      <c r="V77" s="1" t="s">
        <v>32</v>
      </c>
      <c r="W77" s="1">
        <v>120</v>
      </c>
      <c r="X77" s="1">
        <v>119.6</v>
      </c>
      <c r="Y77" s="1">
        <v>117.7</v>
      </c>
      <c r="Z77" s="1">
        <v>110.9</v>
      </c>
      <c r="AA77" s="1"/>
      <c r="AB77" s="1">
        <v>114.8</v>
      </c>
      <c r="AC77" s="1">
        <v>118.7</v>
      </c>
      <c r="AD77" s="1">
        <v>110.8</v>
      </c>
      <c r="AE77" s="1">
        <v>115</v>
      </c>
      <c r="AF77" s="1">
        <v>120.6</v>
      </c>
    </row>
    <row r="78" spans="1:32" x14ac:dyDescent="0.3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f t="shared" si="1"/>
        <v>1571.1000000000001</v>
      </c>
      <c r="R78" s="1">
        <v>128.1</v>
      </c>
      <c r="S78" s="1">
        <v>121.3</v>
      </c>
      <c r="T78" s="1">
        <v>116.5</v>
      </c>
      <c r="U78" s="1">
        <v>120.6</v>
      </c>
      <c r="V78" s="1">
        <v>118.1</v>
      </c>
      <c r="W78" s="1">
        <v>114</v>
      </c>
      <c r="X78" s="1">
        <v>117.7</v>
      </c>
      <c r="Y78" s="1">
        <v>114.1</v>
      </c>
      <c r="Z78" s="1">
        <v>106.8</v>
      </c>
      <c r="AA78" s="1"/>
      <c r="AB78" s="1">
        <v>114.9</v>
      </c>
      <c r="AC78" s="1">
        <v>120.4</v>
      </c>
      <c r="AD78" s="1">
        <v>111.7</v>
      </c>
      <c r="AE78" s="1">
        <v>113.2</v>
      </c>
      <c r="AF78" s="1">
        <v>118.7</v>
      </c>
    </row>
    <row r="79" spans="1:32" x14ac:dyDescent="0.3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f t="shared" si="1"/>
        <v>1569.3999999999996</v>
      </c>
      <c r="R79" s="1">
        <v>125.2</v>
      </c>
      <c r="S79" s="1">
        <v>123.8</v>
      </c>
      <c r="T79" s="1">
        <v>120.1</v>
      </c>
      <c r="U79" s="1">
        <v>123.3</v>
      </c>
      <c r="V79" s="1">
        <v>118.1</v>
      </c>
      <c r="W79" s="1">
        <v>117.7</v>
      </c>
      <c r="X79" s="1">
        <v>118.7</v>
      </c>
      <c r="Y79" s="1">
        <v>116.3</v>
      </c>
      <c r="Z79" s="1">
        <v>108.7</v>
      </c>
      <c r="AA79" s="1"/>
      <c r="AB79" s="1">
        <v>114.9</v>
      </c>
      <c r="AC79" s="1">
        <v>119.7</v>
      </c>
      <c r="AD79" s="1">
        <v>111.2</v>
      </c>
      <c r="AE79" s="1">
        <v>114.1</v>
      </c>
      <c r="AF79" s="1">
        <v>119.7</v>
      </c>
    </row>
    <row r="80" spans="1:32" x14ac:dyDescent="0.3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f t="shared" si="1"/>
        <v>1571.5</v>
      </c>
      <c r="R80" s="1">
        <v>124.7</v>
      </c>
      <c r="S80" s="1">
        <v>126</v>
      </c>
      <c r="T80" s="1">
        <v>122.9</v>
      </c>
      <c r="U80" s="1">
        <v>125.5</v>
      </c>
      <c r="V80" s="1" t="s">
        <v>32</v>
      </c>
      <c r="W80" s="1">
        <v>120.6</v>
      </c>
      <c r="X80" s="1">
        <v>120.2</v>
      </c>
      <c r="Y80" s="1">
        <v>118.2</v>
      </c>
      <c r="Z80" s="1">
        <v>111.6</v>
      </c>
      <c r="AA80" s="1"/>
      <c r="AB80" s="1">
        <v>115.5</v>
      </c>
      <c r="AC80" s="1">
        <v>119.4</v>
      </c>
      <c r="AD80" s="1">
        <v>110.8</v>
      </c>
      <c r="AE80" s="1">
        <v>115.5</v>
      </c>
      <c r="AF80" s="1">
        <v>121.1</v>
      </c>
    </row>
    <row r="81" spans="1:32" x14ac:dyDescent="0.3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f t="shared" si="1"/>
        <v>1568.0000000000002</v>
      </c>
      <c r="R81" s="1">
        <v>128.80000000000001</v>
      </c>
      <c r="S81" s="1">
        <v>121.7</v>
      </c>
      <c r="T81" s="1">
        <v>116.9</v>
      </c>
      <c r="U81" s="1">
        <v>120.9</v>
      </c>
      <c r="V81" s="1">
        <v>118.6</v>
      </c>
      <c r="W81" s="1">
        <v>114.4</v>
      </c>
      <c r="X81" s="1">
        <v>118</v>
      </c>
      <c r="Y81" s="1">
        <v>114.3</v>
      </c>
      <c r="Z81" s="1">
        <v>108.4</v>
      </c>
      <c r="AA81" s="1"/>
      <c r="AB81" s="1">
        <v>115.4</v>
      </c>
      <c r="AC81" s="1">
        <v>120.6</v>
      </c>
      <c r="AD81" s="1">
        <v>111.3</v>
      </c>
      <c r="AE81" s="1">
        <v>113.8</v>
      </c>
      <c r="AF81" s="1">
        <v>119.1</v>
      </c>
    </row>
    <row r="82" spans="1:32" x14ac:dyDescent="0.3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f t="shared" si="1"/>
        <v>1569.1</v>
      </c>
      <c r="R82" s="1">
        <v>125.8</v>
      </c>
      <c r="S82" s="1">
        <v>124.3</v>
      </c>
      <c r="T82" s="1">
        <v>120.4</v>
      </c>
      <c r="U82" s="1">
        <v>123.7</v>
      </c>
      <c r="V82" s="1">
        <v>118.6</v>
      </c>
      <c r="W82" s="1">
        <v>118.3</v>
      </c>
      <c r="X82" s="1">
        <v>119.2</v>
      </c>
      <c r="Y82" s="1">
        <v>116.7</v>
      </c>
      <c r="Z82" s="1">
        <v>109.9</v>
      </c>
      <c r="AA82" s="1"/>
      <c r="AB82" s="1">
        <v>115.4</v>
      </c>
      <c r="AC82" s="1">
        <v>120.1</v>
      </c>
      <c r="AD82" s="1">
        <v>111</v>
      </c>
      <c r="AE82" s="1">
        <v>114.7</v>
      </c>
      <c r="AF82" s="1">
        <v>120.2</v>
      </c>
    </row>
    <row r="83" spans="1:32" x14ac:dyDescent="0.3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f t="shared" si="1"/>
        <v>1577.2</v>
      </c>
      <c r="R83" s="1">
        <v>125.7</v>
      </c>
      <c r="S83" s="1">
        <v>126.4</v>
      </c>
      <c r="T83" s="1">
        <v>123.3</v>
      </c>
      <c r="U83" s="1">
        <v>126</v>
      </c>
      <c r="V83" s="1" t="s">
        <v>32</v>
      </c>
      <c r="W83" s="1">
        <v>121.2</v>
      </c>
      <c r="X83" s="1">
        <v>120.9</v>
      </c>
      <c r="Y83" s="1">
        <v>118.6</v>
      </c>
      <c r="Z83" s="1">
        <v>111.9</v>
      </c>
      <c r="AA83" s="1"/>
      <c r="AB83" s="1">
        <v>116.2</v>
      </c>
      <c r="AC83" s="1">
        <v>119.9</v>
      </c>
      <c r="AD83" s="1">
        <v>111.6</v>
      </c>
      <c r="AE83" s="1">
        <v>116</v>
      </c>
      <c r="AF83" s="1">
        <v>121.5</v>
      </c>
    </row>
    <row r="84" spans="1:32" x14ac:dyDescent="0.3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f t="shared" si="1"/>
        <v>1576.1</v>
      </c>
      <c r="R84" s="1">
        <v>130.1</v>
      </c>
      <c r="S84" s="1">
        <v>122.1</v>
      </c>
      <c r="T84" s="1">
        <v>117.2</v>
      </c>
      <c r="U84" s="1">
        <v>121.3</v>
      </c>
      <c r="V84" s="1">
        <v>119.2</v>
      </c>
      <c r="W84" s="1">
        <v>114.7</v>
      </c>
      <c r="X84" s="1">
        <v>118.4</v>
      </c>
      <c r="Y84" s="1">
        <v>114.6</v>
      </c>
      <c r="Z84" s="1">
        <v>108.4</v>
      </c>
      <c r="AA84" s="1"/>
      <c r="AB84" s="1">
        <v>115.6</v>
      </c>
      <c r="AC84" s="1">
        <v>121.7</v>
      </c>
      <c r="AD84" s="1">
        <v>111.8</v>
      </c>
      <c r="AE84" s="1">
        <v>114.2</v>
      </c>
      <c r="AF84" s="1">
        <v>119.7</v>
      </c>
    </row>
    <row r="85" spans="1:32" x14ac:dyDescent="0.3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f t="shared" si="1"/>
        <v>1575.7</v>
      </c>
      <c r="R85" s="1">
        <v>126.9</v>
      </c>
      <c r="S85" s="1">
        <v>124.7</v>
      </c>
      <c r="T85" s="1">
        <v>120.8</v>
      </c>
      <c r="U85" s="1">
        <v>124.1</v>
      </c>
      <c r="V85" s="1">
        <v>119.2</v>
      </c>
      <c r="W85" s="1">
        <v>118.7</v>
      </c>
      <c r="X85" s="1">
        <v>119.7</v>
      </c>
      <c r="Y85" s="1">
        <v>117.1</v>
      </c>
      <c r="Z85" s="1">
        <v>110.1</v>
      </c>
      <c r="AA85" s="1"/>
      <c r="AB85" s="1">
        <v>115.9</v>
      </c>
      <c r="AC85" s="1">
        <v>121</v>
      </c>
      <c r="AD85" s="1">
        <v>111.7</v>
      </c>
      <c r="AE85" s="1">
        <v>115.1</v>
      </c>
      <c r="AF85" s="1">
        <v>120.7</v>
      </c>
    </row>
    <row r="86" spans="1:32" x14ac:dyDescent="0.3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f t="shared" si="1"/>
        <v>1587.7</v>
      </c>
      <c r="R86" s="1">
        <v>126.7</v>
      </c>
      <c r="S86" s="1">
        <v>127.3</v>
      </c>
      <c r="T86" s="1">
        <v>124.1</v>
      </c>
      <c r="U86" s="1">
        <v>126.8</v>
      </c>
      <c r="V86" s="1" t="s">
        <v>32</v>
      </c>
      <c r="W86" s="1">
        <v>121.9</v>
      </c>
      <c r="X86" s="1">
        <v>121.5</v>
      </c>
      <c r="Y86" s="1">
        <v>119.4</v>
      </c>
      <c r="Z86" s="1">
        <v>113.3</v>
      </c>
      <c r="AA86" s="1"/>
      <c r="AB86" s="1">
        <v>116.7</v>
      </c>
      <c r="AC86" s="1">
        <v>120.5</v>
      </c>
      <c r="AD86" s="1">
        <v>112.3</v>
      </c>
      <c r="AE86" s="1">
        <v>116.9</v>
      </c>
      <c r="AF86" s="1">
        <v>122.4</v>
      </c>
    </row>
    <row r="87" spans="1:32" x14ac:dyDescent="0.3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f t="shared" si="1"/>
        <v>1598.9</v>
      </c>
      <c r="R87" s="1">
        <v>131.30000000000001</v>
      </c>
      <c r="S87" s="1">
        <v>122.4</v>
      </c>
      <c r="T87" s="1">
        <v>117.4</v>
      </c>
      <c r="U87" s="1">
        <v>121.6</v>
      </c>
      <c r="V87" s="1">
        <v>119.6</v>
      </c>
      <c r="W87" s="1">
        <v>114.9</v>
      </c>
      <c r="X87" s="1">
        <v>118.7</v>
      </c>
      <c r="Y87" s="1">
        <v>114.9</v>
      </c>
      <c r="Z87" s="1">
        <v>110.8</v>
      </c>
      <c r="AA87" s="1"/>
      <c r="AB87" s="1">
        <v>116</v>
      </c>
      <c r="AC87" s="1">
        <v>122</v>
      </c>
      <c r="AD87" s="1">
        <v>112.4</v>
      </c>
      <c r="AE87" s="1">
        <v>115.2</v>
      </c>
      <c r="AF87" s="1">
        <v>120.7</v>
      </c>
    </row>
    <row r="88" spans="1:32" x14ac:dyDescent="0.3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f t="shared" si="1"/>
        <v>1590.4</v>
      </c>
      <c r="R88" s="1">
        <v>127.9</v>
      </c>
      <c r="S88" s="1">
        <v>125.4</v>
      </c>
      <c r="T88" s="1">
        <v>121.3</v>
      </c>
      <c r="U88" s="1">
        <v>124.7</v>
      </c>
      <c r="V88" s="1">
        <v>119.6</v>
      </c>
      <c r="W88" s="1">
        <v>119.2</v>
      </c>
      <c r="X88" s="1">
        <v>120.2</v>
      </c>
      <c r="Y88" s="1">
        <v>117.7</v>
      </c>
      <c r="Z88" s="1">
        <v>112</v>
      </c>
      <c r="AA88" s="1"/>
      <c r="AB88" s="1">
        <v>116.3</v>
      </c>
      <c r="AC88" s="1">
        <v>121.4</v>
      </c>
      <c r="AD88" s="1">
        <v>112.3</v>
      </c>
      <c r="AE88" s="1">
        <v>116.1</v>
      </c>
      <c r="AF88" s="1">
        <v>121.6</v>
      </c>
    </row>
    <row r="89" spans="1:32" x14ac:dyDescent="0.3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f t="shared" si="1"/>
        <v>1617.8999999999999</v>
      </c>
      <c r="R89" s="1">
        <v>128.19999999999999</v>
      </c>
      <c r="S89" s="1">
        <v>128.4</v>
      </c>
      <c r="T89" s="1">
        <v>125.1</v>
      </c>
      <c r="U89" s="1">
        <v>128</v>
      </c>
      <c r="V89" s="1" t="s">
        <v>32</v>
      </c>
      <c r="W89" s="1">
        <v>122.6</v>
      </c>
      <c r="X89" s="1">
        <v>122.8</v>
      </c>
      <c r="Y89" s="1">
        <v>120.4</v>
      </c>
      <c r="Z89" s="1">
        <v>114.2</v>
      </c>
      <c r="AA89" s="1"/>
      <c r="AB89" s="1">
        <v>117.9</v>
      </c>
      <c r="AC89" s="1">
        <v>122</v>
      </c>
      <c r="AD89" s="1">
        <v>113</v>
      </c>
      <c r="AE89" s="1">
        <v>117.9</v>
      </c>
      <c r="AF89" s="1">
        <v>124.1</v>
      </c>
    </row>
    <row r="90" spans="1:32" x14ac:dyDescent="0.3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f t="shared" si="1"/>
        <v>1636.6</v>
      </c>
      <c r="R90" s="1">
        <v>132.1</v>
      </c>
      <c r="S90" s="1">
        <v>123.2</v>
      </c>
      <c r="T90" s="1">
        <v>117.6</v>
      </c>
      <c r="U90" s="1">
        <v>122.3</v>
      </c>
      <c r="V90" s="1">
        <v>119</v>
      </c>
      <c r="W90" s="1">
        <v>115.1</v>
      </c>
      <c r="X90" s="1">
        <v>119.2</v>
      </c>
      <c r="Y90" s="1">
        <v>115.4</v>
      </c>
      <c r="Z90" s="1">
        <v>111.7</v>
      </c>
      <c r="AA90" s="1"/>
      <c r="AB90" s="1">
        <v>116.2</v>
      </c>
      <c r="AC90" s="1">
        <v>123.8</v>
      </c>
      <c r="AD90" s="1">
        <v>112.5</v>
      </c>
      <c r="AE90" s="1">
        <v>116</v>
      </c>
      <c r="AF90" s="1">
        <v>121.7</v>
      </c>
    </row>
    <row r="91" spans="1:32" x14ac:dyDescent="0.3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f t="shared" si="1"/>
        <v>1623.5</v>
      </c>
      <c r="R91" s="1">
        <v>129.19999999999999</v>
      </c>
      <c r="S91" s="1">
        <v>126.4</v>
      </c>
      <c r="T91" s="1">
        <v>122</v>
      </c>
      <c r="U91" s="1">
        <v>125.7</v>
      </c>
      <c r="V91" s="1">
        <v>119</v>
      </c>
      <c r="W91" s="1">
        <v>119.8</v>
      </c>
      <c r="X91" s="1">
        <v>121.1</v>
      </c>
      <c r="Y91" s="1">
        <v>118.5</v>
      </c>
      <c r="Z91" s="1">
        <v>112.9</v>
      </c>
      <c r="AA91" s="1"/>
      <c r="AB91" s="1">
        <v>116.9</v>
      </c>
      <c r="AC91" s="1">
        <v>123.1</v>
      </c>
      <c r="AD91" s="1">
        <v>112.8</v>
      </c>
      <c r="AE91" s="1">
        <v>117</v>
      </c>
      <c r="AF91" s="1">
        <v>123</v>
      </c>
    </row>
    <row r="92" spans="1:32" x14ac:dyDescent="0.3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f t="shared" si="1"/>
        <v>1625.3</v>
      </c>
      <c r="R92" s="1">
        <v>129.4</v>
      </c>
      <c r="S92" s="1">
        <v>128.80000000000001</v>
      </c>
      <c r="T92" s="1">
        <v>125.5</v>
      </c>
      <c r="U92" s="1">
        <v>128.30000000000001</v>
      </c>
      <c r="V92" s="1" t="s">
        <v>32</v>
      </c>
      <c r="W92" s="1">
        <v>123</v>
      </c>
      <c r="X92" s="1">
        <v>123</v>
      </c>
      <c r="Y92" s="1">
        <v>120.8</v>
      </c>
      <c r="Z92" s="1">
        <v>114.1</v>
      </c>
      <c r="AA92" s="1"/>
      <c r="AB92" s="1">
        <v>118</v>
      </c>
      <c r="AC92" s="1">
        <v>122.9</v>
      </c>
      <c r="AD92" s="1">
        <v>112.7</v>
      </c>
      <c r="AE92" s="1">
        <v>118.1</v>
      </c>
      <c r="AF92" s="1">
        <v>124.7</v>
      </c>
    </row>
    <row r="93" spans="1:32" x14ac:dyDescent="0.3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f t="shared" si="1"/>
        <v>1642.8999999999999</v>
      </c>
      <c r="R93" s="1">
        <v>133.1</v>
      </c>
      <c r="S93" s="1">
        <v>123.5</v>
      </c>
      <c r="T93" s="1">
        <v>117.9</v>
      </c>
      <c r="U93" s="1">
        <v>122.7</v>
      </c>
      <c r="V93" s="1">
        <v>119.9</v>
      </c>
      <c r="W93" s="1">
        <v>115.3</v>
      </c>
      <c r="X93" s="1">
        <v>119.5</v>
      </c>
      <c r="Y93" s="1">
        <v>116</v>
      </c>
      <c r="Z93" s="1">
        <v>111.5</v>
      </c>
      <c r="AA93" s="1"/>
      <c r="AB93" s="1">
        <v>116.6</v>
      </c>
      <c r="AC93" s="1">
        <v>125.4</v>
      </c>
      <c r="AD93" s="1">
        <v>111.7</v>
      </c>
      <c r="AE93" s="1">
        <v>116.3</v>
      </c>
      <c r="AF93" s="1">
        <v>122.4</v>
      </c>
    </row>
    <row r="94" spans="1:32" x14ac:dyDescent="0.3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f t="shared" si="1"/>
        <v>1630.6000000000001</v>
      </c>
      <c r="R94" s="1">
        <v>130.4</v>
      </c>
      <c r="S94" s="1">
        <v>126.7</v>
      </c>
      <c r="T94" s="1">
        <v>122.3</v>
      </c>
      <c r="U94" s="1">
        <v>126.1</v>
      </c>
      <c r="V94" s="1">
        <v>119.9</v>
      </c>
      <c r="W94" s="1">
        <v>120.1</v>
      </c>
      <c r="X94" s="1">
        <v>121.3</v>
      </c>
      <c r="Y94" s="1">
        <v>119</v>
      </c>
      <c r="Z94" s="1">
        <v>112.7</v>
      </c>
      <c r="AA94" s="1"/>
      <c r="AB94" s="1">
        <v>117.2</v>
      </c>
      <c r="AC94" s="1">
        <v>124.4</v>
      </c>
      <c r="AD94" s="1">
        <v>112.3</v>
      </c>
      <c r="AE94" s="1">
        <v>117.2</v>
      </c>
      <c r="AF94" s="1">
        <v>123.6</v>
      </c>
    </row>
    <row r="95" spans="1:32" x14ac:dyDescent="0.3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f t="shared" si="1"/>
        <v>1646.6</v>
      </c>
      <c r="R95" s="1">
        <v>130.1</v>
      </c>
      <c r="S95" s="1">
        <v>129.5</v>
      </c>
      <c r="T95" s="1">
        <v>126.3</v>
      </c>
      <c r="U95" s="1">
        <v>129</v>
      </c>
      <c r="V95" s="1" t="s">
        <v>32</v>
      </c>
      <c r="W95" s="1">
        <v>123.8</v>
      </c>
      <c r="X95" s="1">
        <v>123.7</v>
      </c>
      <c r="Y95" s="1">
        <v>121.1</v>
      </c>
      <c r="Z95" s="1">
        <v>113.6</v>
      </c>
      <c r="AA95" s="1"/>
      <c r="AB95" s="1">
        <v>118.5</v>
      </c>
      <c r="AC95" s="1">
        <v>123.6</v>
      </c>
      <c r="AD95" s="1">
        <v>112.5</v>
      </c>
      <c r="AE95" s="1">
        <v>118.2</v>
      </c>
      <c r="AF95" s="1">
        <v>126.1</v>
      </c>
    </row>
    <row r="96" spans="1:32" x14ac:dyDescent="0.3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f t="shared" si="1"/>
        <v>1658.8999999999999</v>
      </c>
      <c r="R96" s="1">
        <v>134.19999999999999</v>
      </c>
      <c r="S96" s="1">
        <v>123.7</v>
      </c>
      <c r="T96" s="1">
        <v>118.2</v>
      </c>
      <c r="U96" s="1">
        <v>122.9</v>
      </c>
      <c r="V96" s="1">
        <v>120.9</v>
      </c>
      <c r="W96" s="1">
        <v>115.3</v>
      </c>
      <c r="X96" s="1">
        <v>120</v>
      </c>
      <c r="Y96" s="1">
        <v>116.6</v>
      </c>
      <c r="Z96" s="1">
        <v>109.9</v>
      </c>
      <c r="AA96" s="1"/>
      <c r="AB96" s="1">
        <v>117.2</v>
      </c>
      <c r="AC96" s="1">
        <v>126.2</v>
      </c>
      <c r="AD96" s="1">
        <v>112</v>
      </c>
      <c r="AE96" s="1">
        <v>116.2</v>
      </c>
      <c r="AF96" s="1">
        <v>123.2</v>
      </c>
    </row>
    <row r="97" spans="1:32" x14ac:dyDescent="0.3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f t="shared" si="1"/>
        <v>1649.6</v>
      </c>
      <c r="R97" s="1">
        <v>131.19999999999999</v>
      </c>
      <c r="S97" s="1">
        <v>127.2</v>
      </c>
      <c r="T97" s="1">
        <v>122.9</v>
      </c>
      <c r="U97" s="1">
        <v>126.6</v>
      </c>
      <c r="V97" s="1">
        <v>120.9</v>
      </c>
      <c r="W97" s="1">
        <v>120.6</v>
      </c>
      <c r="X97" s="1">
        <v>122</v>
      </c>
      <c r="Y97" s="1">
        <v>119.4</v>
      </c>
      <c r="Z97" s="1">
        <v>111.7</v>
      </c>
      <c r="AA97" s="1"/>
      <c r="AB97" s="1">
        <v>117.8</v>
      </c>
      <c r="AC97" s="1">
        <v>125.1</v>
      </c>
      <c r="AD97" s="1">
        <v>112.3</v>
      </c>
      <c r="AE97" s="1">
        <v>117.2</v>
      </c>
      <c r="AF97" s="1">
        <v>124.8</v>
      </c>
    </row>
    <row r="98" spans="1:32" x14ac:dyDescent="0.3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f t="shared" si="1"/>
        <v>1657.6000000000001</v>
      </c>
      <c r="R98" s="1">
        <v>131</v>
      </c>
      <c r="S98" s="1">
        <v>130.4</v>
      </c>
      <c r="T98" s="1">
        <v>126.8</v>
      </c>
      <c r="U98" s="1">
        <v>129.9</v>
      </c>
      <c r="V98" s="1" t="s">
        <v>32</v>
      </c>
      <c r="W98" s="1">
        <v>123.7</v>
      </c>
      <c r="X98" s="1">
        <v>124.5</v>
      </c>
      <c r="Y98" s="1">
        <v>121.4</v>
      </c>
      <c r="Z98" s="1">
        <v>113.8</v>
      </c>
      <c r="AA98" s="1"/>
      <c r="AB98" s="1">
        <v>119.6</v>
      </c>
      <c r="AC98" s="1">
        <v>124.5</v>
      </c>
      <c r="AD98" s="1">
        <v>113.7</v>
      </c>
      <c r="AE98" s="1">
        <v>118.8</v>
      </c>
      <c r="AF98" s="1">
        <v>127</v>
      </c>
    </row>
    <row r="99" spans="1:32" x14ac:dyDescent="0.3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f t="shared" si="1"/>
        <v>1664.8</v>
      </c>
      <c r="R99" s="1">
        <v>134.69999999999999</v>
      </c>
      <c r="S99" s="1">
        <v>124</v>
      </c>
      <c r="T99" s="1">
        <v>118.6</v>
      </c>
      <c r="U99" s="1">
        <v>123.2</v>
      </c>
      <c r="V99" s="1">
        <v>121.6</v>
      </c>
      <c r="W99" s="1">
        <v>115.1</v>
      </c>
      <c r="X99" s="1">
        <v>120.4</v>
      </c>
      <c r="Y99" s="1">
        <v>117.1</v>
      </c>
      <c r="Z99" s="1">
        <v>109.1</v>
      </c>
      <c r="AA99" s="1"/>
      <c r="AB99" s="1">
        <v>117.3</v>
      </c>
      <c r="AC99" s="1">
        <v>126.5</v>
      </c>
      <c r="AD99" s="1">
        <v>112.9</v>
      </c>
      <c r="AE99" s="1">
        <v>116.2</v>
      </c>
      <c r="AF99" s="1">
        <v>123.5</v>
      </c>
    </row>
    <row r="100" spans="1:32" x14ac:dyDescent="0.3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f t="shared" si="1"/>
        <v>1658.3000000000002</v>
      </c>
      <c r="R100" s="1">
        <v>132</v>
      </c>
      <c r="S100" s="1">
        <v>127.9</v>
      </c>
      <c r="T100" s="1">
        <v>123.4</v>
      </c>
      <c r="U100" s="1">
        <v>127.2</v>
      </c>
      <c r="V100" s="1">
        <v>121.6</v>
      </c>
      <c r="W100" s="1">
        <v>120.4</v>
      </c>
      <c r="X100" s="1">
        <v>122.6</v>
      </c>
      <c r="Y100" s="1">
        <v>119.8</v>
      </c>
      <c r="Z100" s="1">
        <v>111.3</v>
      </c>
      <c r="AA100" s="1"/>
      <c r="AB100" s="1">
        <v>118.3</v>
      </c>
      <c r="AC100" s="1">
        <v>125.7</v>
      </c>
      <c r="AD100" s="1">
        <v>113.4</v>
      </c>
      <c r="AE100" s="1">
        <v>117.5</v>
      </c>
      <c r="AF100" s="1">
        <v>125.4</v>
      </c>
    </row>
    <row r="101" spans="1:32" x14ac:dyDescent="0.3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f t="shared" si="1"/>
        <v>1674.6</v>
      </c>
      <c r="R101" s="1">
        <v>131.5</v>
      </c>
      <c r="S101" s="1">
        <v>131.1</v>
      </c>
      <c r="T101" s="1">
        <v>127.3</v>
      </c>
      <c r="U101" s="1">
        <v>130.6</v>
      </c>
      <c r="V101" s="1" t="s">
        <v>32</v>
      </c>
      <c r="W101" s="1">
        <v>124.4</v>
      </c>
      <c r="X101" s="1">
        <v>125.1</v>
      </c>
      <c r="Y101" s="1">
        <v>122</v>
      </c>
      <c r="Z101" s="1">
        <v>113.8</v>
      </c>
      <c r="AA101" s="1"/>
      <c r="AB101" s="1">
        <v>120.1</v>
      </c>
      <c r="AC101" s="1">
        <v>125.1</v>
      </c>
      <c r="AD101" s="1">
        <v>114.2</v>
      </c>
      <c r="AE101" s="1">
        <v>119.2</v>
      </c>
      <c r="AF101" s="1">
        <v>127.7</v>
      </c>
    </row>
    <row r="102" spans="1:32" x14ac:dyDescent="0.3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f t="shared" si="1"/>
        <v>1692.8000000000002</v>
      </c>
      <c r="R102" s="1">
        <v>135.30000000000001</v>
      </c>
      <c r="S102" s="1">
        <v>124.4</v>
      </c>
      <c r="T102" s="1">
        <v>118.8</v>
      </c>
      <c r="U102" s="1">
        <v>123.6</v>
      </c>
      <c r="V102" s="1">
        <v>122.4</v>
      </c>
      <c r="W102" s="1">
        <v>114.9</v>
      </c>
      <c r="X102" s="1">
        <v>120.7</v>
      </c>
      <c r="Y102" s="1">
        <v>117.7</v>
      </c>
      <c r="Z102" s="1">
        <v>109.3</v>
      </c>
      <c r="AA102" s="1"/>
      <c r="AB102" s="1">
        <v>117.7</v>
      </c>
      <c r="AC102" s="1">
        <v>126.5</v>
      </c>
      <c r="AD102" s="1">
        <v>113.5</v>
      </c>
      <c r="AE102" s="1">
        <v>116.5</v>
      </c>
      <c r="AF102" s="1">
        <v>124.2</v>
      </c>
    </row>
    <row r="103" spans="1:32" x14ac:dyDescent="0.3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f t="shared" si="1"/>
        <v>1678.9999999999998</v>
      </c>
      <c r="R103" s="1">
        <v>132.5</v>
      </c>
      <c r="S103" s="1">
        <v>128.5</v>
      </c>
      <c r="T103" s="1">
        <v>123.8</v>
      </c>
      <c r="U103" s="1">
        <v>127.8</v>
      </c>
      <c r="V103" s="1">
        <v>122.4</v>
      </c>
      <c r="W103" s="1">
        <v>120.8</v>
      </c>
      <c r="X103" s="1">
        <v>123</v>
      </c>
      <c r="Y103" s="1">
        <v>120.4</v>
      </c>
      <c r="Z103" s="1">
        <v>111.4</v>
      </c>
      <c r="AA103" s="1"/>
      <c r="AB103" s="1">
        <v>118.7</v>
      </c>
      <c r="AC103" s="1">
        <v>125.9</v>
      </c>
      <c r="AD103" s="1">
        <v>113.9</v>
      </c>
      <c r="AE103" s="1">
        <v>117.9</v>
      </c>
      <c r="AF103" s="1">
        <v>126.1</v>
      </c>
    </row>
    <row r="104" spans="1:32" x14ac:dyDescent="0.3">
      <c r="A104" s="1" t="s">
        <v>30</v>
      </c>
      <c r="B104" s="1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f t="shared" si="1"/>
        <v>1686.3</v>
      </c>
      <c r="R104" s="1">
        <v>132.19999999999999</v>
      </c>
      <c r="S104" s="1">
        <v>132.1</v>
      </c>
      <c r="T104" s="1">
        <v>128.19999999999999</v>
      </c>
      <c r="U104" s="1">
        <v>131.5</v>
      </c>
      <c r="V104" s="1" t="s">
        <v>32</v>
      </c>
      <c r="W104" s="1">
        <v>125.6</v>
      </c>
      <c r="X104" s="1">
        <v>125.6</v>
      </c>
      <c r="Y104" s="1">
        <v>122.6</v>
      </c>
      <c r="Z104" s="1">
        <v>114</v>
      </c>
      <c r="AA104" s="1"/>
      <c r="AB104" s="1">
        <v>120.9</v>
      </c>
      <c r="AC104" s="1">
        <v>125.8</v>
      </c>
      <c r="AD104" s="1">
        <v>114.2</v>
      </c>
      <c r="AE104" s="1">
        <v>119.6</v>
      </c>
      <c r="AF104" s="1">
        <v>128.30000000000001</v>
      </c>
    </row>
    <row r="105" spans="1:32" x14ac:dyDescent="0.3">
      <c r="A105" s="1" t="s">
        <v>33</v>
      </c>
      <c r="B105" s="1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f t="shared" si="1"/>
        <v>1708.4999999999998</v>
      </c>
      <c r="R105" s="1">
        <v>137.6</v>
      </c>
      <c r="S105" s="1">
        <v>125</v>
      </c>
      <c r="T105" s="1">
        <v>119.3</v>
      </c>
      <c r="U105" s="1">
        <v>124.2</v>
      </c>
      <c r="V105" s="1">
        <v>122.9</v>
      </c>
      <c r="W105" s="1">
        <v>115.1</v>
      </c>
      <c r="X105" s="1">
        <v>121</v>
      </c>
      <c r="Y105" s="1">
        <v>118.1</v>
      </c>
      <c r="Z105" s="1">
        <v>109.3</v>
      </c>
      <c r="AA105" s="1"/>
      <c r="AB105" s="1">
        <v>117.9</v>
      </c>
      <c r="AC105" s="1">
        <v>126.6</v>
      </c>
      <c r="AD105" s="1">
        <v>113.3</v>
      </c>
      <c r="AE105" s="1">
        <v>116.6</v>
      </c>
      <c r="AF105" s="1">
        <v>124.6</v>
      </c>
    </row>
    <row r="106" spans="1:32" x14ac:dyDescent="0.3">
      <c r="A106" s="1" t="s">
        <v>34</v>
      </c>
      <c r="B106" s="1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f t="shared" si="1"/>
        <v>1692.1</v>
      </c>
      <c r="R106" s="1">
        <v>133.6</v>
      </c>
      <c r="S106" s="1">
        <v>129.30000000000001</v>
      </c>
      <c r="T106" s="1">
        <v>124.5</v>
      </c>
      <c r="U106" s="1">
        <v>128.6</v>
      </c>
      <c r="V106" s="1">
        <v>122.9</v>
      </c>
      <c r="W106" s="1">
        <v>121.6</v>
      </c>
      <c r="X106" s="1">
        <v>123.4</v>
      </c>
      <c r="Y106" s="1">
        <v>120.9</v>
      </c>
      <c r="Z106" s="1">
        <v>111.5</v>
      </c>
      <c r="AA106" s="1"/>
      <c r="AB106" s="1">
        <v>119.2</v>
      </c>
      <c r="AC106" s="1">
        <v>126.3</v>
      </c>
      <c r="AD106" s="1">
        <v>113.8</v>
      </c>
      <c r="AE106" s="1">
        <v>118.1</v>
      </c>
      <c r="AF106" s="1">
        <v>126.6</v>
      </c>
    </row>
    <row r="107" spans="1:32" x14ac:dyDescent="0.3">
      <c r="A107" s="1" t="s">
        <v>30</v>
      </c>
      <c r="B107" s="1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f t="shared" si="1"/>
        <v>1682.3000000000002</v>
      </c>
      <c r="R107" s="1">
        <v>133.1</v>
      </c>
      <c r="S107" s="1">
        <v>132.5</v>
      </c>
      <c r="T107" s="1">
        <v>128.5</v>
      </c>
      <c r="U107" s="1">
        <v>131.9</v>
      </c>
      <c r="V107" s="1" t="s">
        <v>32</v>
      </c>
      <c r="W107" s="1">
        <v>125.7</v>
      </c>
      <c r="X107" s="1">
        <v>126</v>
      </c>
      <c r="Y107" s="1">
        <v>123.1</v>
      </c>
      <c r="Z107" s="1">
        <v>114</v>
      </c>
      <c r="AA107" s="1"/>
      <c r="AB107" s="1">
        <v>121.6</v>
      </c>
      <c r="AC107" s="1">
        <v>125.6</v>
      </c>
      <c r="AD107" s="1">
        <v>114.1</v>
      </c>
      <c r="AE107" s="1">
        <v>119.8</v>
      </c>
      <c r="AF107" s="1">
        <v>127.9</v>
      </c>
    </row>
    <row r="108" spans="1:32" x14ac:dyDescent="0.3">
      <c r="A108" s="1" t="s">
        <v>33</v>
      </c>
      <c r="B108" s="1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f t="shared" si="1"/>
        <v>1698.8</v>
      </c>
      <c r="R108" s="1">
        <v>138.19999999999999</v>
      </c>
      <c r="S108" s="1">
        <v>125.4</v>
      </c>
      <c r="T108" s="1">
        <v>119.5</v>
      </c>
      <c r="U108" s="1">
        <v>124.5</v>
      </c>
      <c r="V108" s="1">
        <v>122.4</v>
      </c>
      <c r="W108" s="1">
        <v>116</v>
      </c>
      <c r="X108" s="1">
        <v>121</v>
      </c>
      <c r="Y108" s="1">
        <v>118.6</v>
      </c>
      <c r="Z108" s="1">
        <v>109.3</v>
      </c>
      <c r="AA108" s="1"/>
      <c r="AB108" s="1">
        <v>118.1</v>
      </c>
      <c r="AC108" s="1">
        <v>126.6</v>
      </c>
      <c r="AD108" s="1">
        <v>113.2</v>
      </c>
      <c r="AE108" s="1">
        <v>116.7</v>
      </c>
      <c r="AF108" s="1">
        <v>124</v>
      </c>
    </row>
    <row r="109" spans="1:32" x14ac:dyDescent="0.3">
      <c r="A109" s="1" t="s">
        <v>34</v>
      </c>
      <c r="B109" s="1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f t="shared" si="1"/>
        <v>1686.1000000000001</v>
      </c>
      <c r="R109" s="1">
        <v>134.5</v>
      </c>
      <c r="S109" s="1">
        <v>129.69999999999999</v>
      </c>
      <c r="T109" s="1">
        <v>124.8</v>
      </c>
      <c r="U109" s="1">
        <v>129</v>
      </c>
      <c r="V109" s="1">
        <v>122.4</v>
      </c>
      <c r="W109" s="1">
        <v>122</v>
      </c>
      <c r="X109" s="1">
        <v>123.6</v>
      </c>
      <c r="Y109" s="1">
        <v>121.4</v>
      </c>
      <c r="Z109" s="1">
        <v>111.5</v>
      </c>
      <c r="AA109" s="1"/>
      <c r="AB109" s="1">
        <v>119.6</v>
      </c>
      <c r="AC109" s="1">
        <v>126.2</v>
      </c>
      <c r="AD109" s="1">
        <v>113.7</v>
      </c>
      <c r="AE109" s="1">
        <v>118.3</v>
      </c>
      <c r="AF109" s="1">
        <v>126.1</v>
      </c>
    </row>
    <row r="110" spans="1:32" x14ac:dyDescent="0.3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f t="shared" si="1"/>
        <v>1690.1000000000001</v>
      </c>
      <c r="R110" s="1">
        <v>133.6</v>
      </c>
      <c r="S110" s="1">
        <v>133.19999999999999</v>
      </c>
      <c r="T110" s="1">
        <v>128.9</v>
      </c>
      <c r="U110" s="1">
        <v>132.6</v>
      </c>
      <c r="V110" s="1" t="s">
        <v>32</v>
      </c>
      <c r="W110" s="1">
        <v>126.2</v>
      </c>
      <c r="X110" s="1">
        <v>126.6</v>
      </c>
      <c r="Y110" s="1">
        <v>123.7</v>
      </c>
      <c r="Z110" s="1">
        <v>113.6</v>
      </c>
      <c r="AA110" s="1"/>
      <c r="AB110" s="1">
        <v>121.4</v>
      </c>
      <c r="AC110" s="1">
        <v>126.2</v>
      </c>
      <c r="AD110" s="1">
        <v>114.9</v>
      </c>
      <c r="AE110" s="1">
        <v>120.1</v>
      </c>
      <c r="AF110" s="1">
        <v>128.1</v>
      </c>
    </row>
    <row r="111" spans="1:32" x14ac:dyDescent="0.3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f t="shared" si="1"/>
        <v>1701.4</v>
      </c>
      <c r="R111" s="1">
        <v>139.5</v>
      </c>
      <c r="S111" s="1">
        <v>125.8</v>
      </c>
      <c r="T111" s="1">
        <v>119.8</v>
      </c>
      <c r="U111" s="1">
        <v>124.9</v>
      </c>
      <c r="V111" s="1">
        <v>123.4</v>
      </c>
      <c r="W111" s="1">
        <v>116.9</v>
      </c>
      <c r="X111" s="1">
        <v>121.6</v>
      </c>
      <c r="Y111" s="1">
        <v>119.1</v>
      </c>
      <c r="Z111" s="1">
        <v>108.9</v>
      </c>
      <c r="AA111" s="1"/>
      <c r="AB111" s="1">
        <v>118.5</v>
      </c>
      <c r="AC111" s="1">
        <v>126.4</v>
      </c>
      <c r="AD111" s="1">
        <v>114</v>
      </c>
      <c r="AE111" s="1">
        <v>116.8</v>
      </c>
      <c r="AF111" s="1">
        <v>124.2</v>
      </c>
    </row>
    <row r="112" spans="1:32" x14ac:dyDescent="0.3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f t="shared" si="1"/>
        <v>1691.7</v>
      </c>
      <c r="R112" s="1">
        <v>135.19999999999999</v>
      </c>
      <c r="S112" s="1">
        <v>130.30000000000001</v>
      </c>
      <c r="T112" s="1">
        <v>125.1</v>
      </c>
      <c r="U112" s="1">
        <v>129.5</v>
      </c>
      <c r="V112" s="1">
        <v>123.4</v>
      </c>
      <c r="W112" s="1">
        <v>122.7</v>
      </c>
      <c r="X112" s="1">
        <v>124.2</v>
      </c>
      <c r="Y112" s="1">
        <v>122</v>
      </c>
      <c r="Z112" s="1">
        <v>111.1</v>
      </c>
      <c r="AA112" s="1"/>
      <c r="AB112" s="1">
        <v>119.8</v>
      </c>
      <c r="AC112" s="1">
        <v>126.3</v>
      </c>
      <c r="AD112" s="1">
        <v>114.5</v>
      </c>
      <c r="AE112" s="1">
        <v>118.5</v>
      </c>
      <c r="AF112" s="1">
        <v>126.3</v>
      </c>
    </row>
    <row r="113" spans="1:32" x14ac:dyDescent="0.3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f t="shared" si="1"/>
        <v>1682.6</v>
      </c>
      <c r="R113" s="1">
        <v>134.4</v>
      </c>
      <c r="S113" s="1">
        <v>133.9</v>
      </c>
      <c r="T113" s="1">
        <v>129.80000000000001</v>
      </c>
      <c r="U113" s="1">
        <v>133.4</v>
      </c>
      <c r="V113" s="1" t="s">
        <v>32</v>
      </c>
      <c r="W113" s="1">
        <v>127.5</v>
      </c>
      <c r="X113" s="1">
        <v>127.1</v>
      </c>
      <c r="Y113" s="1">
        <v>124.3</v>
      </c>
      <c r="Z113" s="1">
        <v>113.9</v>
      </c>
      <c r="AA113" s="1"/>
      <c r="AB113" s="1">
        <v>122.3</v>
      </c>
      <c r="AC113" s="1">
        <v>127.1</v>
      </c>
      <c r="AD113" s="1">
        <v>116.8</v>
      </c>
      <c r="AE113" s="1">
        <v>120.9</v>
      </c>
      <c r="AF113" s="1">
        <v>127.9</v>
      </c>
    </row>
    <row r="114" spans="1:32" x14ac:dyDescent="0.3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f t="shared" si="1"/>
        <v>1676.1</v>
      </c>
      <c r="R114" s="1">
        <v>140</v>
      </c>
      <c r="S114" s="1">
        <v>126.2</v>
      </c>
      <c r="T114" s="1">
        <v>120.1</v>
      </c>
      <c r="U114" s="1">
        <v>125.3</v>
      </c>
      <c r="V114" s="1">
        <v>124.4</v>
      </c>
      <c r="W114" s="1">
        <v>116</v>
      </c>
      <c r="X114" s="1">
        <v>121.8</v>
      </c>
      <c r="Y114" s="1">
        <v>119.5</v>
      </c>
      <c r="Z114" s="1">
        <v>109.1</v>
      </c>
      <c r="AA114" s="1"/>
      <c r="AB114" s="1">
        <v>118.8</v>
      </c>
      <c r="AC114" s="1">
        <v>126.3</v>
      </c>
      <c r="AD114" s="1">
        <v>116.2</v>
      </c>
      <c r="AE114" s="1">
        <v>117.2</v>
      </c>
      <c r="AF114" s="1">
        <v>123.8</v>
      </c>
    </row>
    <row r="115" spans="1:32" x14ac:dyDescent="0.3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f t="shared" si="1"/>
        <v>1678.1</v>
      </c>
      <c r="R115" s="1">
        <v>135.9</v>
      </c>
      <c r="S115" s="1">
        <v>130.9</v>
      </c>
      <c r="T115" s="1">
        <v>125.8</v>
      </c>
      <c r="U115" s="1">
        <v>130.19999999999999</v>
      </c>
      <c r="V115" s="1">
        <v>124.4</v>
      </c>
      <c r="W115" s="1">
        <v>123.1</v>
      </c>
      <c r="X115" s="1">
        <v>124.6</v>
      </c>
      <c r="Y115" s="1">
        <v>122.5</v>
      </c>
      <c r="Z115" s="1">
        <v>111.4</v>
      </c>
      <c r="AA115" s="1"/>
      <c r="AB115" s="1">
        <v>120.3</v>
      </c>
      <c r="AC115" s="1">
        <v>126.6</v>
      </c>
      <c r="AD115" s="1">
        <v>116.6</v>
      </c>
      <c r="AE115" s="1">
        <v>119.1</v>
      </c>
      <c r="AF115" s="1">
        <v>126</v>
      </c>
    </row>
    <row r="116" spans="1:32" x14ac:dyDescent="0.3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f t="shared" si="1"/>
        <v>1682.7000000000003</v>
      </c>
      <c r="R116" s="1">
        <v>135</v>
      </c>
      <c r="S116" s="1">
        <v>134.4</v>
      </c>
      <c r="T116" s="1">
        <v>130.19999999999999</v>
      </c>
      <c r="U116" s="1">
        <v>133.80000000000001</v>
      </c>
      <c r="V116" s="1" t="s">
        <v>32</v>
      </c>
      <c r="W116" s="1">
        <v>127</v>
      </c>
      <c r="X116" s="1">
        <v>127.7</v>
      </c>
      <c r="Y116" s="1">
        <v>124.8</v>
      </c>
      <c r="Z116" s="1">
        <v>113.6</v>
      </c>
      <c r="AA116" s="1"/>
      <c r="AB116" s="1">
        <v>122.5</v>
      </c>
      <c r="AC116" s="1">
        <v>127.5</v>
      </c>
      <c r="AD116" s="1">
        <v>117.4</v>
      </c>
      <c r="AE116" s="1">
        <v>121.1</v>
      </c>
      <c r="AF116" s="1">
        <v>128</v>
      </c>
    </row>
    <row r="117" spans="1:32" x14ac:dyDescent="0.3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f t="shared" si="1"/>
        <v>1667.6000000000001</v>
      </c>
      <c r="R117" s="1">
        <v>140.6</v>
      </c>
      <c r="S117" s="1">
        <v>126.4</v>
      </c>
      <c r="T117" s="1">
        <v>120.3</v>
      </c>
      <c r="U117" s="1">
        <v>125.5</v>
      </c>
      <c r="V117" s="1">
        <v>124.9</v>
      </c>
      <c r="W117" s="1">
        <v>114.8</v>
      </c>
      <c r="X117" s="1">
        <v>122.3</v>
      </c>
      <c r="Y117" s="1">
        <v>119.7</v>
      </c>
      <c r="Z117" s="1">
        <v>108.5</v>
      </c>
      <c r="AA117" s="1"/>
      <c r="AB117" s="1">
        <v>119.1</v>
      </c>
      <c r="AC117" s="1">
        <v>126.4</v>
      </c>
      <c r="AD117" s="1">
        <v>117.1</v>
      </c>
      <c r="AE117" s="1">
        <v>117.3</v>
      </c>
      <c r="AF117" s="1">
        <v>123.8</v>
      </c>
    </row>
    <row r="118" spans="1:32" x14ac:dyDescent="0.3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f t="shared" si="1"/>
        <v>1675.2</v>
      </c>
      <c r="R118" s="1">
        <v>136.5</v>
      </c>
      <c r="S118" s="1">
        <v>131.30000000000001</v>
      </c>
      <c r="T118" s="1">
        <v>126.1</v>
      </c>
      <c r="U118" s="1">
        <v>130.5</v>
      </c>
      <c r="V118" s="1">
        <v>124.9</v>
      </c>
      <c r="W118" s="1">
        <v>122.4</v>
      </c>
      <c r="X118" s="1">
        <v>125.1</v>
      </c>
      <c r="Y118" s="1">
        <v>122.9</v>
      </c>
      <c r="Z118" s="1">
        <v>110.9</v>
      </c>
      <c r="AA118" s="1"/>
      <c r="AB118" s="1">
        <v>120.6</v>
      </c>
      <c r="AC118" s="1">
        <v>126.9</v>
      </c>
      <c r="AD118" s="1">
        <v>117.3</v>
      </c>
      <c r="AE118" s="1">
        <v>119.3</v>
      </c>
      <c r="AF118" s="1">
        <v>126</v>
      </c>
    </row>
    <row r="119" spans="1:32" x14ac:dyDescent="0.3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f t="shared" si="1"/>
        <v>1701.6000000000004</v>
      </c>
      <c r="R119" s="1">
        <v>135.5</v>
      </c>
      <c r="S119" s="1">
        <v>135</v>
      </c>
      <c r="T119" s="1">
        <v>130.6</v>
      </c>
      <c r="U119" s="1">
        <v>134.4</v>
      </c>
      <c r="V119" s="1" t="s">
        <v>32</v>
      </c>
      <c r="W119" s="1">
        <v>127</v>
      </c>
      <c r="X119" s="1">
        <v>128</v>
      </c>
      <c r="Y119" s="1">
        <v>125.2</v>
      </c>
      <c r="Z119" s="1">
        <v>114.4</v>
      </c>
      <c r="AA119" s="1"/>
      <c r="AB119" s="1">
        <v>123.2</v>
      </c>
      <c r="AC119" s="1">
        <v>127.9</v>
      </c>
      <c r="AD119" s="1">
        <v>118.4</v>
      </c>
      <c r="AE119" s="1">
        <v>121.7</v>
      </c>
      <c r="AF119" s="1">
        <v>129</v>
      </c>
    </row>
    <row r="120" spans="1:32" x14ac:dyDescent="0.3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f t="shared" si="1"/>
        <v>1706.3</v>
      </c>
      <c r="R120" s="1">
        <v>141.5</v>
      </c>
      <c r="S120" s="1">
        <v>126.8</v>
      </c>
      <c r="T120" s="1">
        <v>120.5</v>
      </c>
      <c r="U120" s="1">
        <v>125.8</v>
      </c>
      <c r="V120" s="1">
        <v>125.6</v>
      </c>
      <c r="W120" s="1">
        <v>114.6</v>
      </c>
      <c r="X120" s="1">
        <v>122.8</v>
      </c>
      <c r="Y120" s="1">
        <v>120</v>
      </c>
      <c r="Z120" s="1">
        <v>110</v>
      </c>
      <c r="AA120" s="1"/>
      <c r="AB120" s="1">
        <v>119.5</v>
      </c>
      <c r="AC120" s="1">
        <v>127.6</v>
      </c>
      <c r="AD120" s="1">
        <v>117.6</v>
      </c>
      <c r="AE120" s="1">
        <v>118.2</v>
      </c>
      <c r="AF120" s="1">
        <v>125.3</v>
      </c>
    </row>
    <row r="121" spans="1:32" x14ac:dyDescent="0.3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f t="shared" si="1"/>
        <v>1701.3</v>
      </c>
      <c r="R121" s="1">
        <v>137.1</v>
      </c>
      <c r="S121" s="1">
        <v>131.80000000000001</v>
      </c>
      <c r="T121" s="1">
        <v>126.4</v>
      </c>
      <c r="U121" s="1">
        <v>131</v>
      </c>
      <c r="V121" s="1">
        <v>125.6</v>
      </c>
      <c r="W121" s="1">
        <v>122.3</v>
      </c>
      <c r="X121" s="1">
        <v>125.5</v>
      </c>
      <c r="Y121" s="1">
        <v>123.2</v>
      </c>
      <c r="Z121" s="1">
        <v>112.1</v>
      </c>
      <c r="AA121" s="1"/>
      <c r="AB121" s="1">
        <v>121.1</v>
      </c>
      <c r="AC121" s="1">
        <v>127.7</v>
      </c>
      <c r="AD121" s="1">
        <v>118.1</v>
      </c>
      <c r="AE121" s="1">
        <v>120</v>
      </c>
      <c r="AF121" s="1">
        <v>127.3</v>
      </c>
    </row>
    <row r="122" spans="1:32" x14ac:dyDescent="0.3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f t="shared" si="1"/>
        <v>1723.6999999999998</v>
      </c>
      <c r="R122" s="1">
        <v>136</v>
      </c>
      <c r="S122" s="1">
        <v>135.4</v>
      </c>
      <c r="T122" s="1">
        <v>131.1</v>
      </c>
      <c r="U122" s="1">
        <v>134.80000000000001</v>
      </c>
      <c r="V122" s="1" t="s">
        <v>32</v>
      </c>
      <c r="W122" s="1">
        <v>127.4</v>
      </c>
      <c r="X122" s="1">
        <v>128.5</v>
      </c>
      <c r="Y122" s="1">
        <v>125.8</v>
      </c>
      <c r="Z122" s="1">
        <v>115.1</v>
      </c>
      <c r="AA122" s="1"/>
      <c r="AB122" s="1">
        <v>123.6</v>
      </c>
      <c r="AC122" s="1">
        <v>129.1</v>
      </c>
      <c r="AD122" s="1">
        <v>119.7</v>
      </c>
      <c r="AE122" s="1">
        <v>122.5</v>
      </c>
      <c r="AF122" s="1">
        <v>130.30000000000001</v>
      </c>
    </row>
    <row r="123" spans="1:32" x14ac:dyDescent="0.3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f t="shared" si="1"/>
        <v>1746.7999999999997</v>
      </c>
      <c r="R123" s="1">
        <v>142.19999999999999</v>
      </c>
      <c r="S123" s="1">
        <v>127.2</v>
      </c>
      <c r="T123" s="1">
        <v>120.7</v>
      </c>
      <c r="U123" s="1">
        <v>126.2</v>
      </c>
      <c r="V123" s="1">
        <v>126</v>
      </c>
      <c r="W123" s="1">
        <v>115</v>
      </c>
      <c r="X123" s="1">
        <v>123.2</v>
      </c>
      <c r="Y123" s="1">
        <v>120.3</v>
      </c>
      <c r="Z123" s="1">
        <v>110.7</v>
      </c>
      <c r="AA123" s="1"/>
      <c r="AB123" s="1">
        <v>119.8</v>
      </c>
      <c r="AC123" s="1">
        <v>128</v>
      </c>
      <c r="AD123" s="1">
        <v>118.5</v>
      </c>
      <c r="AE123" s="1">
        <v>118.7</v>
      </c>
      <c r="AF123" s="1">
        <v>126.6</v>
      </c>
    </row>
    <row r="124" spans="1:32" x14ac:dyDescent="0.3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f t="shared" si="1"/>
        <v>1730.4</v>
      </c>
      <c r="R124" s="1">
        <v>137.69999999999999</v>
      </c>
      <c r="S124" s="1">
        <v>132.19999999999999</v>
      </c>
      <c r="T124" s="1">
        <v>126.8</v>
      </c>
      <c r="U124" s="1">
        <v>131.4</v>
      </c>
      <c r="V124" s="1">
        <v>126</v>
      </c>
      <c r="W124" s="1">
        <v>122.7</v>
      </c>
      <c r="X124" s="1">
        <v>126</v>
      </c>
      <c r="Y124" s="1">
        <v>123.7</v>
      </c>
      <c r="Z124" s="1">
        <v>112.8</v>
      </c>
      <c r="AA124" s="1"/>
      <c r="AB124" s="1">
        <v>121.5</v>
      </c>
      <c r="AC124" s="1">
        <v>128.5</v>
      </c>
      <c r="AD124" s="1">
        <v>119.2</v>
      </c>
      <c r="AE124" s="1">
        <v>120.7</v>
      </c>
      <c r="AF124" s="1">
        <v>128.6</v>
      </c>
    </row>
    <row r="125" spans="1:32" x14ac:dyDescent="0.3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f t="shared" si="1"/>
        <v>1748.6</v>
      </c>
      <c r="R125" s="1">
        <v>137.19999999999999</v>
      </c>
      <c r="S125" s="1">
        <v>136.30000000000001</v>
      </c>
      <c r="T125" s="1">
        <v>131.6</v>
      </c>
      <c r="U125" s="1">
        <v>135.6</v>
      </c>
      <c r="V125" s="1" t="s">
        <v>32</v>
      </c>
      <c r="W125" s="1">
        <v>128</v>
      </c>
      <c r="X125" s="1">
        <v>129.30000000000001</v>
      </c>
      <c r="Y125" s="1">
        <v>126.2</v>
      </c>
      <c r="Z125" s="1">
        <v>116.3</v>
      </c>
      <c r="AA125" s="1"/>
      <c r="AB125" s="1">
        <v>124.1</v>
      </c>
      <c r="AC125" s="1">
        <v>130.19999999999999</v>
      </c>
      <c r="AD125" s="1">
        <v>119.9</v>
      </c>
      <c r="AE125" s="1">
        <v>123.3</v>
      </c>
      <c r="AF125" s="1">
        <v>131.9</v>
      </c>
    </row>
    <row r="126" spans="1:32" x14ac:dyDescent="0.3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f t="shared" si="1"/>
        <v>1787.0000000000002</v>
      </c>
      <c r="R126" s="1">
        <v>142.69999999999999</v>
      </c>
      <c r="S126" s="1">
        <v>127.6</v>
      </c>
      <c r="T126" s="1">
        <v>121.1</v>
      </c>
      <c r="U126" s="1">
        <v>126.6</v>
      </c>
      <c r="V126" s="1">
        <v>125.5</v>
      </c>
      <c r="W126" s="1">
        <v>115.5</v>
      </c>
      <c r="X126" s="1">
        <v>123.2</v>
      </c>
      <c r="Y126" s="1">
        <v>120.6</v>
      </c>
      <c r="Z126" s="1">
        <v>112.3</v>
      </c>
      <c r="AA126" s="1"/>
      <c r="AB126" s="1">
        <v>119.9</v>
      </c>
      <c r="AC126" s="1">
        <v>129.30000000000001</v>
      </c>
      <c r="AD126" s="1">
        <v>118.8</v>
      </c>
      <c r="AE126" s="1">
        <v>119.6</v>
      </c>
      <c r="AF126" s="1">
        <v>128.1</v>
      </c>
    </row>
    <row r="127" spans="1:32" x14ac:dyDescent="0.3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f t="shared" si="1"/>
        <v>1760.6</v>
      </c>
      <c r="R127" s="1">
        <v>138.69999999999999</v>
      </c>
      <c r="S127" s="1">
        <v>132.9</v>
      </c>
      <c r="T127" s="1">
        <v>127.2</v>
      </c>
      <c r="U127" s="1">
        <v>132</v>
      </c>
      <c r="V127" s="1">
        <v>125.5</v>
      </c>
      <c r="W127" s="1">
        <v>123.3</v>
      </c>
      <c r="X127" s="1">
        <v>126.4</v>
      </c>
      <c r="Y127" s="1">
        <v>124.1</v>
      </c>
      <c r="Z127" s="1">
        <v>114.2</v>
      </c>
      <c r="AA127" s="1"/>
      <c r="AB127" s="1">
        <v>121.7</v>
      </c>
      <c r="AC127" s="1">
        <v>129.69999999999999</v>
      </c>
      <c r="AD127" s="1">
        <v>119.4</v>
      </c>
      <c r="AE127" s="1">
        <v>121.5</v>
      </c>
      <c r="AF127" s="1">
        <v>130.1</v>
      </c>
    </row>
    <row r="128" spans="1:32" x14ac:dyDescent="0.3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f t="shared" si="1"/>
        <v>1770.2999999999997</v>
      </c>
      <c r="R128" s="1">
        <v>138</v>
      </c>
      <c r="S128" s="1">
        <v>137.19999999999999</v>
      </c>
      <c r="T128" s="1">
        <v>132.19999999999999</v>
      </c>
      <c r="U128" s="1">
        <v>136.5</v>
      </c>
      <c r="V128" s="1" t="s">
        <v>32</v>
      </c>
      <c r="W128" s="1">
        <v>128.19999999999999</v>
      </c>
      <c r="X128" s="1">
        <v>130</v>
      </c>
      <c r="Y128" s="1">
        <v>126.7</v>
      </c>
      <c r="Z128" s="1">
        <v>116.4</v>
      </c>
      <c r="AA128" s="1"/>
      <c r="AB128" s="1">
        <v>125.2</v>
      </c>
      <c r="AC128" s="1">
        <v>130.80000000000001</v>
      </c>
      <c r="AD128" s="1">
        <v>120.9</v>
      </c>
      <c r="AE128" s="1">
        <v>123.8</v>
      </c>
      <c r="AF128" s="1">
        <v>133</v>
      </c>
    </row>
    <row r="129" spans="1:32" x14ac:dyDescent="0.3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f t="shared" si="1"/>
        <v>1811.5000000000002</v>
      </c>
      <c r="R129" s="1">
        <v>142.9</v>
      </c>
      <c r="S129" s="1">
        <v>127.9</v>
      </c>
      <c r="T129" s="1">
        <v>121.1</v>
      </c>
      <c r="U129" s="1">
        <v>126.9</v>
      </c>
      <c r="V129" s="1">
        <v>126.4</v>
      </c>
      <c r="W129" s="1">
        <v>115.5</v>
      </c>
      <c r="X129" s="1">
        <v>123.5</v>
      </c>
      <c r="Y129" s="1">
        <v>120.9</v>
      </c>
      <c r="Z129" s="1">
        <v>111.7</v>
      </c>
      <c r="AA129" s="1"/>
      <c r="AB129" s="1">
        <v>120.3</v>
      </c>
      <c r="AC129" s="1">
        <v>130.80000000000001</v>
      </c>
      <c r="AD129" s="1">
        <v>120</v>
      </c>
      <c r="AE129" s="1">
        <v>119.9</v>
      </c>
      <c r="AF129" s="1">
        <v>129</v>
      </c>
    </row>
    <row r="130" spans="1:32" x14ac:dyDescent="0.3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f t="shared" si="1"/>
        <v>1783.5</v>
      </c>
      <c r="R130" s="1">
        <v>139.30000000000001</v>
      </c>
      <c r="S130" s="1">
        <v>133.5</v>
      </c>
      <c r="T130" s="1">
        <v>127.6</v>
      </c>
      <c r="U130" s="1">
        <v>132.69999999999999</v>
      </c>
      <c r="V130" s="1">
        <v>126.4</v>
      </c>
      <c r="W130" s="1">
        <v>123.4</v>
      </c>
      <c r="X130" s="1">
        <v>126.9</v>
      </c>
      <c r="Y130" s="1">
        <v>124.5</v>
      </c>
      <c r="Z130" s="1">
        <v>113.9</v>
      </c>
      <c r="AA130" s="1"/>
      <c r="AB130" s="1">
        <v>122.4</v>
      </c>
      <c r="AC130" s="1">
        <v>130.80000000000001</v>
      </c>
      <c r="AD130" s="1">
        <v>120.5</v>
      </c>
      <c r="AE130" s="1">
        <v>121.9</v>
      </c>
      <c r="AF130" s="1">
        <v>131.1</v>
      </c>
    </row>
    <row r="131" spans="1:32" x14ac:dyDescent="0.3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f t="shared" ref="Q131:Q194" si="2">SUM(D131:P131)</f>
        <v>1777.4999999999998</v>
      </c>
      <c r="R131" s="1">
        <v>138.9</v>
      </c>
      <c r="S131" s="1">
        <v>137.80000000000001</v>
      </c>
      <c r="T131" s="1">
        <v>133</v>
      </c>
      <c r="U131" s="1">
        <v>137.1</v>
      </c>
      <c r="V131" s="1" t="s">
        <v>32</v>
      </c>
      <c r="W131" s="1">
        <v>129.1</v>
      </c>
      <c r="X131" s="1">
        <v>130.6</v>
      </c>
      <c r="Y131" s="1">
        <v>127</v>
      </c>
      <c r="Z131" s="1">
        <v>116</v>
      </c>
      <c r="AA131" s="1"/>
      <c r="AB131" s="1">
        <v>125.5</v>
      </c>
      <c r="AC131" s="1">
        <v>131.9</v>
      </c>
      <c r="AD131" s="1">
        <v>122</v>
      </c>
      <c r="AE131" s="1">
        <v>124.2</v>
      </c>
      <c r="AF131" s="1">
        <v>133.5</v>
      </c>
    </row>
    <row r="132" spans="1:32" x14ac:dyDescent="0.3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f t="shared" si="2"/>
        <v>1783.9999999999995</v>
      </c>
      <c r="R132" s="1">
        <v>143.6</v>
      </c>
      <c r="S132" s="1">
        <v>128.30000000000001</v>
      </c>
      <c r="T132" s="1">
        <v>121.4</v>
      </c>
      <c r="U132" s="1">
        <v>127.3</v>
      </c>
      <c r="V132" s="1">
        <v>127.3</v>
      </c>
      <c r="W132" s="1">
        <v>114.7</v>
      </c>
      <c r="X132" s="1">
        <v>123.9</v>
      </c>
      <c r="Y132" s="1">
        <v>121.2</v>
      </c>
      <c r="Z132" s="1">
        <v>110.4</v>
      </c>
      <c r="AA132" s="1"/>
      <c r="AB132" s="1">
        <v>120.6</v>
      </c>
      <c r="AC132" s="1">
        <v>131.5</v>
      </c>
      <c r="AD132" s="1">
        <v>120.9</v>
      </c>
      <c r="AE132" s="1">
        <v>119.9</v>
      </c>
      <c r="AF132" s="1">
        <v>128.4</v>
      </c>
    </row>
    <row r="133" spans="1:32" x14ac:dyDescent="0.3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f t="shared" si="2"/>
        <v>1777.9</v>
      </c>
      <c r="R133" s="1">
        <v>140.19999999999999</v>
      </c>
      <c r="S133" s="1">
        <v>134.1</v>
      </c>
      <c r="T133" s="1">
        <v>128.19999999999999</v>
      </c>
      <c r="U133" s="1">
        <v>133.19999999999999</v>
      </c>
      <c r="V133" s="1">
        <v>127.3</v>
      </c>
      <c r="W133" s="1">
        <v>123.6</v>
      </c>
      <c r="X133" s="1">
        <v>127.4</v>
      </c>
      <c r="Y133" s="1">
        <v>124.8</v>
      </c>
      <c r="Z133" s="1">
        <v>113.1</v>
      </c>
      <c r="AA133" s="1"/>
      <c r="AB133" s="1">
        <v>122.7</v>
      </c>
      <c r="AC133" s="1">
        <v>131.69999999999999</v>
      </c>
      <c r="AD133" s="1">
        <v>121.5</v>
      </c>
      <c r="AE133" s="1">
        <v>122.1</v>
      </c>
      <c r="AF133" s="1">
        <v>131.1</v>
      </c>
    </row>
    <row r="134" spans="1:32" x14ac:dyDescent="0.3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f t="shared" si="2"/>
        <v>1770.7</v>
      </c>
      <c r="R134" s="1">
        <v>139.9</v>
      </c>
      <c r="S134" s="1">
        <v>138.5</v>
      </c>
      <c r="T134" s="1">
        <v>133.5</v>
      </c>
      <c r="U134" s="1">
        <v>137.80000000000001</v>
      </c>
      <c r="V134" s="1" t="s">
        <v>32</v>
      </c>
      <c r="W134" s="1">
        <v>129.69999999999999</v>
      </c>
      <c r="X134" s="1">
        <v>131.1</v>
      </c>
      <c r="Y134" s="1">
        <v>127.8</v>
      </c>
      <c r="Z134" s="1">
        <v>117</v>
      </c>
      <c r="AA134" s="1"/>
      <c r="AB134" s="1">
        <v>125.7</v>
      </c>
      <c r="AC134" s="1">
        <v>132.19999999999999</v>
      </c>
      <c r="AD134" s="1">
        <v>122.8</v>
      </c>
      <c r="AE134" s="1">
        <v>124.9</v>
      </c>
      <c r="AF134" s="1">
        <v>133.4</v>
      </c>
    </row>
    <row r="135" spans="1:32" x14ac:dyDescent="0.3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f t="shared" si="2"/>
        <v>1756.3999999999996</v>
      </c>
      <c r="R135" s="1">
        <v>143.9</v>
      </c>
      <c r="S135" s="1">
        <v>128.69999999999999</v>
      </c>
      <c r="T135" s="1">
        <v>121.6</v>
      </c>
      <c r="U135" s="1">
        <v>127.7</v>
      </c>
      <c r="V135" s="1">
        <v>127.9</v>
      </c>
      <c r="W135" s="1">
        <v>114.8</v>
      </c>
      <c r="X135" s="1">
        <v>124.3</v>
      </c>
      <c r="Y135" s="1">
        <v>121.4</v>
      </c>
      <c r="Z135" s="1">
        <v>111.8</v>
      </c>
      <c r="AA135" s="1"/>
      <c r="AB135" s="1">
        <v>120.8</v>
      </c>
      <c r="AC135" s="1">
        <v>131.6</v>
      </c>
      <c r="AD135" s="1">
        <v>121.2</v>
      </c>
      <c r="AE135" s="1">
        <v>120.5</v>
      </c>
      <c r="AF135" s="1">
        <v>128</v>
      </c>
    </row>
    <row r="136" spans="1:32" x14ac:dyDescent="0.3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f t="shared" si="2"/>
        <v>1763.6999999999998</v>
      </c>
      <c r="R136" s="1">
        <v>141</v>
      </c>
      <c r="S136" s="1">
        <v>134.6</v>
      </c>
      <c r="T136" s="1">
        <v>128.6</v>
      </c>
      <c r="U136" s="1">
        <v>133.80000000000001</v>
      </c>
      <c r="V136" s="1">
        <v>127.9</v>
      </c>
      <c r="W136" s="1">
        <v>124.1</v>
      </c>
      <c r="X136" s="1">
        <v>127.9</v>
      </c>
      <c r="Y136" s="1">
        <v>125.4</v>
      </c>
      <c r="Z136" s="1">
        <v>114.3</v>
      </c>
      <c r="AA136" s="1"/>
      <c r="AB136" s="1">
        <v>122.9</v>
      </c>
      <c r="AC136" s="1">
        <v>131.80000000000001</v>
      </c>
      <c r="AD136" s="1">
        <v>122.1</v>
      </c>
      <c r="AE136" s="1">
        <v>122.8</v>
      </c>
      <c r="AF136" s="1">
        <v>130.9</v>
      </c>
    </row>
    <row r="137" spans="1:32" x14ac:dyDescent="0.3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f t="shared" si="2"/>
        <v>1771.8000000000002</v>
      </c>
      <c r="R137" s="1">
        <v>140.9</v>
      </c>
      <c r="S137" s="1">
        <v>139.6</v>
      </c>
      <c r="T137" s="1">
        <v>134.30000000000001</v>
      </c>
      <c r="U137" s="1">
        <v>138.80000000000001</v>
      </c>
      <c r="V137" s="1" t="s">
        <v>32</v>
      </c>
      <c r="W137" s="1">
        <v>129.80000000000001</v>
      </c>
      <c r="X137" s="1">
        <v>131.80000000000001</v>
      </c>
      <c r="Y137" s="1">
        <v>128.69999999999999</v>
      </c>
      <c r="Z137" s="1">
        <v>117.8</v>
      </c>
      <c r="AA137" s="1"/>
      <c r="AB137" s="1">
        <v>126.5</v>
      </c>
      <c r="AC137" s="1">
        <v>133</v>
      </c>
      <c r="AD137" s="1">
        <v>123</v>
      </c>
      <c r="AE137" s="1">
        <v>125.7</v>
      </c>
      <c r="AF137" s="1">
        <v>133.80000000000001</v>
      </c>
    </row>
    <row r="138" spans="1:32" x14ac:dyDescent="0.3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f t="shared" si="2"/>
        <v>1762.8999999999999</v>
      </c>
      <c r="R138" s="1">
        <v>144.30000000000001</v>
      </c>
      <c r="S138" s="1">
        <v>129.1</v>
      </c>
      <c r="T138" s="1">
        <v>121.9</v>
      </c>
      <c r="U138" s="1">
        <v>128</v>
      </c>
      <c r="V138" s="1">
        <v>128.69999999999999</v>
      </c>
      <c r="W138" s="1">
        <v>115.2</v>
      </c>
      <c r="X138" s="1">
        <v>124.5</v>
      </c>
      <c r="Y138" s="1">
        <v>121.8</v>
      </c>
      <c r="Z138" s="1">
        <v>112.8</v>
      </c>
      <c r="AA138" s="1"/>
      <c r="AB138" s="1">
        <v>121.2</v>
      </c>
      <c r="AC138" s="1">
        <v>131.9</v>
      </c>
      <c r="AD138" s="1">
        <v>120.8</v>
      </c>
      <c r="AE138" s="1">
        <v>120.9</v>
      </c>
      <c r="AF138" s="1">
        <v>128.6</v>
      </c>
    </row>
    <row r="139" spans="1:32" x14ac:dyDescent="0.3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f t="shared" si="2"/>
        <v>1766.7999999999995</v>
      </c>
      <c r="R139" s="1">
        <v>141.80000000000001</v>
      </c>
      <c r="S139" s="1">
        <v>135.5</v>
      </c>
      <c r="T139" s="1">
        <v>129.1</v>
      </c>
      <c r="U139" s="1">
        <v>134.5</v>
      </c>
      <c r="V139" s="1">
        <v>128.69999999999999</v>
      </c>
      <c r="W139" s="1">
        <v>124.3</v>
      </c>
      <c r="X139" s="1">
        <v>128.4</v>
      </c>
      <c r="Y139" s="1">
        <v>126.1</v>
      </c>
      <c r="Z139" s="1">
        <v>115.2</v>
      </c>
      <c r="AA139" s="1"/>
      <c r="AB139" s="1">
        <v>123.5</v>
      </c>
      <c r="AC139" s="1">
        <v>132.4</v>
      </c>
      <c r="AD139" s="1">
        <v>122.1</v>
      </c>
      <c r="AE139" s="1">
        <v>123.4</v>
      </c>
      <c r="AF139" s="1">
        <v>131.4</v>
      </c>
    </row>
    <row r="140" spans="1:32" x14ac:dyDescent="0.3">
      <c r="A140" s="1" t="s">
        <v>30</v>
      </c>
      <c r="B140" s="1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f t="shared" si="2"/>
        <v>1764.6</v>
      </c>
      <c r="R140" s="1">
        <v>141.19999999999999</v>
      </c>
      <c r="S140" s="1">
        <v>139.9</v>
      </c>
      <c r="T140" s="1">
        <v>134.5</v>
      </c>
      <c r="U140" s="1">
        <v>139.19999999999999</v>
      </c>
      <c r="V140" s="1" t="s">
        <v>32</v>
      </c>
      <c r="W140" s="1">
        <v>130.30000000000001</v>
      </c>
      <c r="X140" s="1">
        <v>132.1</v>
      </c>
      <c r="Y140" s="1">
        <v>129.1</v>
      </c>
      <c r="Z140" s="1">
        <v>118.2</v>
      </c>
      <c r="AA140" s="1"/>
      <c r="AB140" s="1">
        <v>126.9</v>
      </c>
      <c r="AC140" s="1">
        <v>133.69999999999999</v>
      </c>
      <c r="AD140" s="1">
        <v>123.5</v>
      </c>
      <c r="AE140" s="1">
        <v>126.1</v>
      </c>
      <c r="AF140" s="1">
        <v>133.6</v>
      </c>
    </row>
    <row r="141" spans="1:32" x14ac:dyDescent="0.3">
      <c r="A141" s="1" t="s">
        <v>33</v>
      </c>
      <c r="B141" s="1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f t="shared" si="2"/>
        <v>1755.2</v>
      </c>
      <c r="R141" s="1">
        <v>144.30000000000001</v>
      </c>
      <c r="S141" s="1">
        <v>129.6</v>
      </c>
      <c r="T141" s="1">
        <v>122.1</v>
      </c>
      <c r="U141" s="1">
        <v>128.5</v>
      </c>
      <c r="V141" s="1">
        <v>129.1</v>
      </c>
      <c r="W141" s="1">
        <v>116.2</v>
      </c>
      <c r="X141" s="1">
        <v>124.7</v>
      </c>
      <c r="Y141" s="1">
        <v>122.1</v>
      </c>
      <c r="Z141" s="1">
        <v>113.4</v>
      </c>
      <c r="AA141" s="1"/>
      <c r="AB141" s="1">
        <v>121.7</v>
      </c>
      <c r="AC141" s="1">
        <v>132.1</v>
      </c>
      <c r="AD141" s="1">
        <v>121.3</v>
      </c>
      <c r="AE141" s="1">
        <v>121.3</v>
      </c>
      <c r="AF141" s="1">
        <v>128.5</v>
      </c>
    </row>
    <row r="142" spans="1:32" x14ac:dyDescent="0.3">
      <c r="A142" s="1" t="s">
        <v>34</v>
      </c>
      <c r="B142" s="1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f t="shared" si="2"/>
        <v>1759.8</v>
      </c>
      <c r="R142" s="1">
        <v>142</v>
      </c>
      <c r="S142" s="1">
        <v>135.80000000000001</v>
      </c>
      <c r="T142" s="1">
        <v>129.30000000000001</v>
      </c>
      <c r="U142" s="1">
        <v>135</v>
      </c>
      <c r="V142" s="1">
        <v>129.1</v>
      </c>
      <c r="W142" s="1">
        <v>125</v>
      </c>
      <c r="X142" s="1">
        <v>128.6</v>
      </c>
      <c r="Y142" s="1">
        <v>126.4</v>
      </c>
      <c r="Z142" s="1">
        <v>115.7</v>
      </c>
      <c r="AA142" s="1"/>
      <c r="AB142" s="1">
        <v>124</v>
      </c>
      <c r="AC142" s="1">
        <v>132.80000000000001</v>
      </c>
      <c r="AD142" s="1">
        <v>122.6</v>
      </c>
      <c r="AE142" s="1">
        <v>123.8</v>
      </c>
      <c r="AF142" s="1">
        <v>131.19999999999999</v>
      </c>
    </row>
    <row r="143" spans="1:32" x14ac:dyDescent="0.3">
      <c r="A143" s="1" t="s">
        <v>30</v>
      </c>
      <c r="B143" s="1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f t="shared" si="2"/>
        <v>1749.1</v>
      </c>
      <c r="R143" s="1">
        <v>142.4</v>
      </c>
      <c r="S143" s="1">
        <v>140.4</v>
      </c>
      <c r="T143" s="1">
        <v>135.19999999999999</v>
      </c>
      <c r="U143" s="1">
        <v>139.69999999999999</v>
      </c>
      <c r="V143" s="1" t="s">
        <v>32</v>
      </c>
      <c r="W143" s="1">
        <v>132</v>
      </c>
      <c r="X143" s="1">
        <v>132.9</v>
      </c>
      <c r="Y143" s="1">
        <v>129.69999999999999</v>
      </c>
      <c r="Z143" s="1">
        <v>118.6</v>
      </c>
      <c r="AA143" s="1"/>
      <c r="AB143" s="1">
        <v>127.3</v>
      </c>
      <c r="AC143" s="1">
        <v>134.19999999999999</v>
      </c>
      <c r="AD143" s="1">
        <v>121.9</v>
      </c>
      <c r="AE143" s="1">
        <v>126.3</v>
      </c>
      <c r="AF143" s="1">
        <v>132.80000000000001</v>
      </c>
    </row>
    <row r="144" spans="1:32" x14ac:dyDescent="0.3">
      <c r="A144" s="1" t="s">
        <v>33</v>
      </c>
      <c r="B144" s="1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f t="shared" si="2"/>
        <v>1729.8</v>
      </c>
      <c r="R144" s="1">
        <v>145</v>
      </c>
      <c r="S144" s="1">
        <v>130</v>
      </c>
      <c r="T144" s="1">
        <v>122.2</v>
      </c>
      <c r="U144" s="1">
        <v>128.80000000000001</v>
      </c>
      <c r="V144" s="1">
        <v>128.5</v>
      </c>
      <c r="W144" s="1">
        <v>117.8</v>
      </c>
      <c r="X144" s="1">
        <v>125</v>
      </c>
      <c r="Y144" s="1">
        <v>122.3</v>
      </c>
      <c r="Z144" s="1">
        <v>113.7</v>
      </c>
      <c r="AA144" s="1"/>
      <c r="AB144" s="1">
        <v>121.8</v>
      </c>
      <c r="AC144" s="1">
        <v>132.30000000000001</v>
      </c>
      <c r="AD144" s="1">
        <v>119.9</v>
      </c>
      <c r="AE144" s="1">
        <v>121.4</v>
      </c>
      <c r="AF144" s="1">
        <v>127.6</v>
      </c>
    </row>
    <row r="145" spans="1:32" x14ac:dyDescent="0.3">
      <c r="A145" s="1" t="s">
        <v>34</v>
      </c>
      <c r="B145" s="1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f t="shared" si="2"/>
        <v>1740.7</v>
      </c>
      <c r="R145" s="1">
        <v>143.1</v>
      </c>
      <c r="S145" s="1">
        <v>136.30000000000001</v>
      </c>
      <c r="T145" s="1">
        <v>129.80000000000001</v>
      </c>
      <c r="U145" s="1">
        <v>135.4</v>
      </c>
      <c r="V145" s="1">
        <v>128.5</v>
      </c>
      <c r="W145" s="1">
        <v>126.6</v>
      </c>
      <c r="X145" s="1">
        <v>129.19999999999999</v>
      </c>
      <c r="Y145" s="1">
        <v>126.9</v>
      </c>
      <c r="Z145" s="1">
        <v>116</v>
      </c>
      <c r="AA145" s="1"/>
      <c r="AB145" s="1">
        <v>124.2</v>
      </c>
      <c r="AC145" s="1">
        <v>133.1</v>
      </c>
      <c r="AD145" s="1">
        <v>121.1</v>
      </c>
      <c r="AE145" s="1">
        <v>123.9</v>
      </c>
      <c r="AF145" s="1">
        <v>130.4</v>
      </c>
    </row>
    <row r="146" spans="1:32" x14ac:dyDescent="0.3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f t="shared" si="2"/>
        <v>1737.3000000000002</v>
      </c>
      <c r="R146" s="1">
        <v>143.1</v>
      </c>
      <c r="S146" s="1">
        <v>140.69999999999999</v>
      </c>
      <c r="T146" s="1">
        <v>135.80000000000001</v>
      </c>
      <c r="U146" s="1">
        <v>140</v>
      </c>
      <c r="V146" s="1" t="s">
        <v>32</v>
      </c>
      <c r="W146" s="1">
        <v>132.1</v>
      </c>
      <c r="X146" s="1">
        <v>133.19999999999999</v>
      </c>
      <c r="Y146" s="1">
        <v>129.9</v>
      </c>
      <c r="Z146" s="1">
        <v>119.1</v>
      </c>
      <c r="AA146" s="1"/>
      <c r="AB146" s="1">
        <v>127</v>
      </c>
      <c r="AC146" s="1">
        <v>134.6</v>
      </c>
      <c r="AD146" s="1">
        <v>122.3</v>
      </c>
      <c r="AE146" s="1">
        <v>126.6</v>
      </c>
      <c r="AF146" s="1">
        <v>132.4</v>
      </c>
    </row>
    <row r="147" spans="1:32" x14ac:dyDescent="0.3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f t="shared" si="2"/>
        <v>1713.2</v>
      </c>
      <c r="R147" s="1">
        <v>145.6</v>
      </c>
      <c r="S147" s="1">
        <v>130.19999999999999</v>
      </c>
      <c r="T147" s="1">
        <v>122.3</v>
      </c>
      <c r="U147" s="1">
        <v>129</v>
      </c>
      <c r="V147" s="1">
        <v>129.6</v>
      </c>
      <c r="W147" s="1">
        <v>118</v>
      </c>
      <c r="X147" s="1">
        <v>125.1</v>
      </c>
      <c r="Y147" s="1">
        <v>122.6</v>
      </c>
      <c r="Z147" s="1">
        <v>115.2</v>
      </c>
      <c r="AA147" s="1"/>
      <c r="AB147" s="1">
        <v>122</v>
      </c>
      <c r="AC147" s="1">
        <v>132.4</v>
      </c>
      <c r="AD147" s="1">
        <v>120.9</v>
      </c>
      <c r="AE147" s="1">
        <v>122.1</v>
      </c>
      <c r="AF147" s="1">
        <v>127.8</v>
      </c>
    </row>
    <row r="148" spans="1:32" x14ac:dyDescent="0.3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f t="shared" si="2"/>
        <v>1727.2999999999995</v>
      </c>
      <c r="R148" s="1">
        <v>143.80000000000001</v>
      </c>
      <c r="S148" s="1">
        <v>136.6</v>
      </c>
      <c r="T148" s="1">
        <v>130.19999999999999</v>
      </c>
      <c r="U148" s="1">
        <v>135.6</v>
      </c>
      <c r="V148" s="1">
        <v>129.6</v>
      </c>
      <c r="W148" s="1">
        <v>126.8</v>
      </c>
      <c r="X148" s="1">
        <v>129.4</v>
      </c>
      <c r="Y148" s="1">
        <v>127.1</v>
      </c>
      <c r="Z148" s="1">
        <v>117</v>
      </c>
      <c r="AA148" s="1"/>
      <c r="AB148" s="1">
        <v>124.2</v>
      </c>
      <c r="AC148" s="1">
        <v>133.30000000000001</v>
      </c>
      <c r="AD148" s="1">
        <v>121.7</v>
      </c>
      <c r="AE148" s="1">
        <v>124.4</v>
      </c>
      <c r="AF148" s="1">
        <v>130.30000000000001</v>
      </c>
    </row>
    <row r="149" spans="1:32" x14ac:dyDescent="0.3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f t="shared" si="2"/>
        <v>1734.5000000000002</v>
      </c>
      <c r="R149" s="1">
        <v>143.69999999999999</v>
      </c>
      <c r="S149" s="1">
        <v>140.9</v>
      </c>
      <c r="T149" s="1">
        <v>135.80000000000001</v>
      </c>
      <c r="U149" s="1">
        <v>140.19999999999999</v>
      </c>
      <c r="V149" s="1" t="s">
        <v>32</v>
      </c>
      <c r="W149" s="1">
        <v>133.19999999999999</v>
      </c>
      <c r="X149" s="1">
        <v>133.6</v>
      </c>
      <c r="Y149" s="1">
        <v>130.1</v>
      </c>
      <c r="Z149" s="1">
        <v>119.5</v>
      </c>
      <c r="AA149" s="1"/>
      <c r="AB149" s="1">
        <v>127.7</v>
      </c>
      <c r="AC149" s="1">
        <v>134.9</v>
      </c>
      <c r="AD149" s="1">
        <v>123.2</v>
      </c>
      <c r="AE149" s="1">
        <v>127</v>
      </c>
      <c r="AF149" s="1">
        <v>132.6</v>
      </c>
    </row>
    <row r="150" spans="1:32" x14ac:dyDescent="0.3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f t="shared" si="2"/>
        <v>1705.3000000000002</v>
      </c>
      <c r="R150" s="1">
        <v>146.30000000000001</v>
      </c>
      <c r="S150" s="1">
        <v>130.5</v>
      </c>
      <c r="T150" s="1">
        <v>122.5</v>
      </c>
      <c r="U150" s="1">
        <v>129.30000000000001</v>
      </c>
      <c r="V150" s="1">
        <v>130.5</v>
      </c>
      <c r="W150" s="1">
        <v>119.2</v>
      </c>
      <c r="X150" s="1">
        <v>125.3</v>
      </c>
      <c r="Y150" s="1">
        <v>122.9</v>
      </c>
      <c r="Z150" s="1">
        <v>115.5</v>
      </c>
      <c r="AA150" s="1"/>
      <c r="AB150" s="1">
        <v>122.2</v>
      </c>
      <c r="AC150" s="1">
        <v>132.4</v>
      </c>
      <c r="AD150" s="1">
        <v>121.7</v>
      </c>
      <c r="AE150" s="1">
        <v>122.4</v>
      </c>
      <c r="AF150" s="1">
        <v>128.19999999999999</v>
      </c>
    </row>
    <row r="151" spans="1:32" x14ac:dyDescent="0.3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f t="shared" si="2"/>
        <v>1722.3000000000002</v>
      </c>
      <c r="R151" s="1">
        <v>144.4</v>
      </c>
      <c r="S151" s="1">
        <v>136.80000000000001</v>
      </c>
      <c r="T151" s="1">
        <v>130.30000000000001</v>
      </c>
      <c r="U151" s="1">
        <v>135.9</v>
      </c>
      <c r="V151" s="1">
        <v>130.5</v>
      </c>
      <c r="W151" s="1">
        <v>127.9</v>
      </c>
      <c r="X151" s="1">
        <v>129.69999999999999</v>
      </c>
      <c r="Y151" s="1">
        <v>127.4</v>
      </c>
      <c r="Z151" s="1">
        <v>117.4</v>
      </c>
      <c r="AA151" s="1"/>
      <c r="AB151" s="1">
        <v>124.6</v>
      </c>
      <c r="AC151" s="1">
        <v>133.4</v>
      </c>
      <c r="AD151" s="1">
        <v>122.6</v>
      </c>
      <c r="AE151" s="1">
        <v>124.8</v>
      </c>
      <c r="AF151" s="1">
        <v>130.6</v>
      </c>
    </row>
    <row r="152" spans="1:32" x14ac:dyDescent="0.3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f t="shared" si="2"/>
        <v>1728.5000000000002</v>
      </c>
      <c r="R152" s="1">
        <v>144.19999999999999</v>
      </c>
      <c r="S152" s="1">
        <v>141.6</v>
      </c>
      <c r="T152" s="1">
        <v>136.19999999999999</v>
      </c>
      <c r="U152" s="1">
        <v>140.80000000000001</v>
      </c>
      <c r="V152" s="1" t="s">
        <v>32</v>
      </c>
      <c r="W152" s="1">
        <v>134.19999999999999</v>
      </c>
      <c r="X152" s="1">
        <v>134.1</v>
      </c>
      <c r="Y152" s="1">
        <v>130.6</v>
      </c>
      <c r="Z152" s="1">
        <v>119.8</v>
      </c>
      <c r="AA152" s="1">
        <f>X152+Z152</f>
        <v>253.89999999999998</v>
      </c>
      <c r="AB152" s="1">
        <v>128.30000000000001</v>
      </c>
      <c r="AC152" s="1">
        <v>135.19999999999999</v>
      </c>
      <c r="AD152" s="1">
        <v>123.3</v>
      </c>
      <c r="AE152" s="1">
        <v>127.4</v>
      </c>
      <c r="AF152" s="1">
        <v>132.80000000000001</v>
      </c>
    </row>
    <row r="153" spans="1:32" x14ac:dyDescent="0.3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f t="shared" si="2"/>
        <v>1705.6999999999998</v>
      </c>
      <c r="R153" s="1">
        <v>147.5</v>
      </c>
      <c r="S153" s="1">
        <v>130.80000000000001</v>
      </c>
      <c r="T153" s="1">
        <v>122.8</v>
      </c>
      <c r="U153" s="1">
        <v>129.6</v>
      </c>
      <c r="V153" s="1">
        <v>131.1</v>
      </c>
      <c r="W153" s="1">
        <v>120.8</v>
      </c>
      <c r="X153" s="1">
        <v>125.6</v>
      </c>
      <c r="Y153" s="1">
        <v>123.1</v>
      </c>
      <c r="Z153" s="1">
        <v>115.6</v>
      </c>
      <c r="AA153" s="1">
        <f t="shared" ref="AA153:AA154" si="3">X153+Z153</f>
        <v>241.2</v>
      </c>
      <c r="AB153" s="1">
        <v>122.4</v>
      </c>
      <c r="AC153" s="1">
        <v>132.80000000000001</v>
      </c>
      <c r="AD153" s="1">
        <v>121.7</v>
      </c>
      <c r="AE153" s="1">
        <v>122.6</v>
      </c>
      <c r="AF153" s="1">
        <v>128.69999999999999</v>
      </c>
    </row>
    <row r="154" spans="1:32" x14ac:dyDescent="0.3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f t="shared" si="2"/>
        <v>1718.9</v>
      </c>
      <c r="R154" s="1">
        <v>145.1</v>
      </c>
      <c r="S154" s="1">
        <v>137.30000000000001</v>
      </c>
      <c r="T154" s="1">
        <v>130.6</v>
      </c>
      <c r="U154" s="1">
        <v>136.4</v>
      </c>
      <c r="V154" s="1">
        <v>131.1</v>
      </c>
      <c r="W154" s="1">
        <v>129.1</v>
      </c>
      <c r="X154" s="1">
        <v>130.1</v>
      </c>
      <c r="Y154" s="1">
        <v>127.8</v>
      </c>
      <c r="Z154" s="1">
        <v>117.6</v>
      </c>
      <c r="AA154" s="1">
        <f t="shared" si="3"/>
        <v>247.7</v>
      </c>
      <c r="AB154" s="1">
        <v>125</v>
      </c>
      <c r="AC154" s="1">
        <v>133.80000000000001</v>
      </c>
      <c r="AD154" s="1">
        <v>122.6</v>
      </c>
      <c r="AE154" s="1">
        <v>125.1</v>
      </c>
      <c r="AF154" s="1">
        <v>130.9</v>
      </c>
    </row>
    <row r="155" spans="1:32" x14ac:dyDescent="0.3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f t="shared" si="2"/>
        <v>1726.3</v>
      </c>
      <c r="R155" s="1">
        <v>144.4</v>
      </c>
      <c r="S155" s="1">
        <v>142.4</v>
      </c>
      <c r="T155" s="1">
        <v>136.80000000000001</v>
      </c>
      <c r="U155" s="1">
        <v>141.6</v>
      </c>
      <c r="V155" s="1" t="s">
        <v>32</v>
      </c>
      <c r="W155" s="1">
        <v>135</v>
      </c>
      <c r="X155" s="1">
        <v>134.30000000000001</v>
      </c>
      <c r="Y155" s="1">
        <v>131</v>
      </c>
      <c r="Z155" s="1">
        <v>119.2</v>
      </c>
      <c r="AA155" s="1"/>
      <c r="AB155" s="1">
        <v>128.30000000000001</v>
      </c>
      <c r="AC155" s="1">
        <v>135.69999999999999</v>
      </c>
      <c r="AD155" s="1">
        <v>123.7</v>
      </c>
      <c r="AE155" s="1">
        <v>127.5</v>
      </c>
      <c r="AF155" s="1">
        <v>132.9</v>
      </c>
    </row>
    <row r="156" spans="1:32" x14ac:dyDescent="0.3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f t="shared" si="2"/>
        <v>1708.1</v>
      </c>
      <c r="R156" s="1">
        <v>148</v>
      </c>
      <c r="S156" s="1">
        <v>131.19999999999999</v>
      </c>
      <c r="T156" s="1">
        <v>123</v>
      </c>
      <c r="U156" s="1">
        <v>130</v>
      </c>
      <c r="V156" s="1">
        <v>131.69999999999999</v>
      </c>
      <c r="W156" s="1">
        <v>121.4</v>
      </c>
      <c r="X156" s="1">
        <v>126</v>
      </c>
      <c r="Y156" s="1">
        <v>123.4</v>
      </c>
      <c r="Z156" s="1">
        <v>114.3</v>
      </c>
      <c r="AA156" s="1"/>
      <c r="AB156" s="1">
        <v>122.6</v>
      </c>
      <c r="AC156" s="1">
        <v>133.6</v>
      </c>
      <c r="AD156" s="1">
        <v>122.2</v>
      </c>
      <c r="AE156" s="1">
        <v>122.5</v>
      </c>
      <c r="AF156" s="1">
        <v>129.1</v>
      </c>
    </row>
    <row r="157" spans="1:32" x14ac:dyDescent="0.3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f t="shared" si="2"/>
        <v>1718.4</v>
      </c>
      <c r="R157" s="1">
        <v>145.4</v>
      </c>
      <c r="S157" s="1">
        <v>138</v>
      </c>
      <c r="T157" s="1">
        <v>131.1</v>
      </c>
      <c r="U157" s="1">
        <v>137</v>
      </c>
      <c r="V157" s="1">
        <v>131.69999999999999</v>
      </c>
      <c r="W157" s="1">
        <v>129.80000000000001</v>
      </c>
      <c r="X157" s="1">
        <v>130.4</v>
      </c>
      <c r="Y157" s="1">
        <v>128.1</v>
      </c>
      <c r="Z157" s="1">
        <v>116.6</v>
      </c>
      <c r="AA157" s="1"/>
      <c r="AB157" s="1">
        <v>125.1</v>
      </c>
      <c r="AC157" s="1">
        <v>134.5</v>
      </c>
      <c r="AD157" s="1">
        <v>123.1</v>
      </c>
      <c r="AE157" s="1">
        <v>125.1</v>
      </c>
      <c r="AF157" s="1">
        <v>131.1</v>
      </c>
    </row>
    <row r="158" spans="1:32" x14ac:dyDescent="0.3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f t="shared" si="2"/>
        <v>1727.4999999999995</v>
      </c>
      <c r="R158" s="1">
        <v>145.5</v>
      </c>
      <c r="S158" s="1">
        <v>142.5</v>
      </c>
      <c r="T158" s="1">
        <v>137.30000000000001</v>
      </c>
      <c r="U158" s="1">
        <v>141.80000000000001</v>
      </c>
      <c r="V158" s="1" t="s">
        <v>32</v>
      </c>
      <c r="W158" s="1">
        <v>135</v>
      </c>
      <c r="X158" s="1">
        <v>134.9</v>
      </c>
      <c r="Y158" s="1">
        <v>131.4</v>
      </c>
      <c r="Z158" s="1">
        <v>119.4</v>
      </c>
      <c r="AA158" s="1"/>
      <c r="AB158" s="1">
        <v>129.4</v>
      </c>
      <c r="AC158" s="1">
        <v>136.30000000000001</v>
      </c>
      <c r="AD158" s="1">
        <v>123.7</v>
      </c>
      <c r="AE158" s="1">
        <v>127.9</v>
      </c>
      <c r="AF158" s="1">
        <v>133.30000000000001</v>
      </c>
    </row>
    <row r="159" spans="1:32" x14ac:dyDescent="0.3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f t="shared" si="2"/>
        <v>1709.6</v>
      </c>
      <c r="R159" s="1">
        <v>148.30000000000001</v>
      </c>
      <c r="S159" s="1">
        <v>131.5</v>
      </c>
      <c r="T159" s="1">
        <v>123.2</v>
      </c>
      <c r="U159" s="1">
        <v>130.19999999999999</v>
      </c>
      <c r="V159" s="1">
        <v>132.1</v>
      </c>
      <c r="W159" s="1">
        <v>120.1</v>
      </c>
      <c r="X159" s="1">
        <v>126.5</v>
      </c>
      <c r="Y159" s="1">
        <v>123.6</v>
      </c>
      <c r="Z159" s="1">
        <v>114.3</v>
      </c>
      <c r="AA159" s="1"/>
      <c r="AB159" s="1">
        <v>122.8</v>
      </c>
      <c r="AC159" s="1">
        <v>133.80000000000001</v>
      </c>
      <c r="AD159" s="1">
        <v>122</v>
      </c>
      <c r="AE159" s="1">
        <v>122.6</v>
      </c>
      <c r="AF159" s="1">
        <v>129.30000000000001</v>
      </c>
    </row>
    <row r="160" spans="1:32" x14ac:dyDescent="0.3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f t="shared" si="2"/>
        <v>1719.6000000000001</v>
      </c>
      <c r="R160" s="1">
        <v>146.19999999999999</v>
      </c>
      <c r="S160" s="1">
        <v>138.19999999999999</v>
      </c>
      <c r="T160" s="1">
        <v>131.4</v>
      </c>
      <c r="U160" s="1">
        <v>137.19999999999999</v>
      </c>
      <c r="V160" s="1">
        <v>132.1</v>
      </c>
      <c r="W160" s="1">
        <v>129.4</v>
      </c>
      <c r="X160" s="1">
        <v>130.9</v>
      </c>
      <c r="Y160" s="1">
        <v>128.4</v>
      </c>
      <c r="Z160" s="1">
        <v>116.7</v>
      </c>
      <c r="AA160" s="1"/>
      <c r="AB160" s="1">
        <v>125.7</v>
      </c>
      <c r="AC160" s="1">
        <v>134.80000000000001</v>
      </c>
      <c r="AD160" s="1">
        <v>123</v>
      </c>
      <c r="AE160" s="1">
        <v>125.3</v>
      </c>
      <c r="AF160" s="1">
        <v>131.4</v>
      </c>
    </row>
    <row r="161" spans="1:32" x14ac:dyDescent="0.3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f t="shared" si="2"/>
        <v>1738.8000000000002</v>
      </c>
      <c r="R161" s="1">
        <v>145.80000000000001</v>
      </c>
      <c r="S161" s="1">
        <v>143.1</v>
      </c>
      <c r="T161" s="1">
        <v>137.69999999999999</v>
      </c>
      <c r="U161" s="1">
        <v>142.30000000000001</v>
      </c>
      <c r="V161" s="1" t="s">
        <v>32</v>
      </c>
      <c r="W161" s="1">
        <v>134.80000000000001</v>
      </c>
      <c r="X161" s="1">
        <v>135.19999999999999</v>
      </c>
      <c r="Y161" s="1">
        <v>131.30000000000001</v>
      </c>
      <c r="Z161" s="1">
        <v>119.4</v>
      </c>
      <c r="AA161" s="1"/>
      <c r="AB161" s="1">
        <v>129.80000000000001</v>
      </c>
      <c r="AC161" s="1">
        <v>136.9</v>
      </c>
      <c r="AD161" s="1">
        <v>124.1</v>
      </c>
      <c r="AE161" s="1">
        <v>128.1</v>
      </c>
      <c r="AF161" s="1">
        <v>133.9</v>
      </c>
    </row>
    <row r="162" spans="1:32" x14ac:dyDescent="0.3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f t="shared" si="2"/>
        <v>1731.0000000000002</v>
      </c>
      <c r="R162" s="1">
        <v>148.6</v>
      </c>
      <c r="S162" s="1">
        <v>131.5</v>
      </c>
      <c r="T162" s="1">
        <v>123.2</v>
      </c>
      <c r="U162" s="1">
        <v>130.19999999999999</v>
      </c>
      <c r="V162" s="1">
        <v>131.4</v>
      </c>
      <c r="W162" s="1">
        <v>119</v>
      </c>
      <c r="X162" s="1">
        <v>126.8</v>
      </c>
      <c r="Y162" s="1">
        <v>123.8</v>
      </c>
      <c r="Z162" s="1">
        <v>113.9</v>
      </c>
      <c r="AA162" s="1"/>
      <c r="AB162" s="1">
        <v>122.9</v>
      </c>
      <c r="AC162" s="1">
        <v>134.30000000000001</v>
      </c>
      <c r="AD162" s="1">
        <v>122.5</v>
      </c>
      <c r="AE162" s="1">
        <v>122.7</v>
      </c>
      <c r="AF162" s="1">
        <v>129.9</v>
      </c>
    </row>
    <row r="163" spans="1:32" x14ac:dyDescent="0.3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f t="shared" si="2"/>
        <v>1734.7</v>
      </c>
      <c r="R163" s="1">
        <v>146.5</v>
      </c>
      <c r="S163" s="1">
        <v>138.5</v>
      </c>
      <c r="T163" s="1">
        <v>131.69999999999999</v>
      </c>
      <c r="U163" s="1">
        <v>137.5</v>
      </c>
      <c r="V163" s="1">
        <v>131.4</v>
      </c>
      <c r="W163" s="1">
        <v>128.80000000000001</v>
      </c>
      <c r="X163" s="1">
        <v>131.19999999999999</v>
      </c>
      <c r="Y163" s="1">
        <v>128.5</v>
      </c>
      <c r="Z163" s="1">
        <v>116.5</v>
      </c>
      <c r="AA163" s="1"/>
      <c r="AB163" s="1">
        <v>125.9</v>
      </c>
      <c r="AC163" s="1">
        <v>135.4</v>
      </c>
      <c r="AD163" s="1">
        <v>123.4</v>
      </c>
      <c r="AE163" s="1">
        <v>125.5</v>
      </c>
      <c r="AF163" s="1">
        <v>132</v>
      </c>
    </row>
    <row r="164" spans="1:32" x14ac:dyDescent="0.3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f t="shared" si="2"/>
        <v>1772.9</v>
      </c>
      <c r="R164" s="1">
        <v>147.4</v>
      </c>
      <c r="S164" s="1">
        <v>144.30000000000001</v>
      </c>
      <c r="T164" s="1">
        <v>138.1</v>
      </c>
      <c r="U164" s="1">
        <v>143.5</v>
      </c>
      <c r="V164" s="1" t="s">
        <v>32</v>
      </c>
      <c r="W164" s="1">
        <v>135.30000000000001</v>
      </c>
      <c r="X164" s="1">
        <v>136.1</v>
      </c>
      <c r="Y164" s="1">
        <v>132.1</v>
      </c>
      <c r="Z164" s="1">
        <v>119.1</v>
      </c>
      <c r="AA164" s="1"/>
      <c r="AB164" s="1">
        <v>130.6</v>
      </c>
      <c r="AC164" s="1">
        <v>138.6</v>
      </c>
      <c r="AD164" s="1">
        <v>124.4</v>
      </c>
      <c r="AE164" s="1">
        <v>128.6</v>
      </c>
      <c r="AF164" s="1">
        <v>136.19999999999999</v>
      </c>
    </row>
    <row r="165" spans="1:32" x14ac:dyDescent="0.3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f t="shared" si="2"/>
        <v>1768.1</v>
      </c>
      <c r="R165" s="1">
        <v>150.5</v>
      </c>
      <c r="S165" s="1">
        <v>131.6</v>
      </c>
      <c r="T165" s="1">
        <v>123.7</v>
      </c>
      <c r="U165" s="1">
        <v>130.4</v>
      </c>
      <c r="V165" s="1">
        <v>132.6</v>
      </c>
      <c r="W165" s="1">
        <v>119.7</v>
      </c>
      <c r="X165" s="1">
        <v>127.2</v>
      </c>
      <c r="Y165" s="1">
        <v>125</v>
      </c>
      <c r="Z165" s="1">
        <v>113.2</v>
      </c>
      <c r="AA165" s="1"/>
      <c r="AB165" s="1">
        <v>123.5</v>
      </c>
      <c r="AC165" s="1">
        <v>135.5</v>
      </c>
      <c r="AD165" s="1">
        <v>122.4</v>
      </c>
      <c r="AE165" s="1">
        <v>123</v>
      </c>
      <c r="AF165" s="1">
        <v>131.80000000000001</v>
      </c>
    </row>
    <row r="166" spans="1:32" x14ac:dyDescent="0.3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f t="shared" si="2"/>
        <v>1769.3999999999999</v>
      </c>
      <c r="R166" s="1">
        <v>148.19999999999999</v>
      </c>
      <c r="S166" s="1">
        <v>139.30000000000001</v>
      </c>
      <c r="T166" s="1">
        <v>132.1</v>
      </c>
      <c r="U166" s="1">
        <v>138.30000000000001</v>
      </c>
      <c r="V166" s="1">
        <v>132.6</v>
      </c>
      <c r="W166" s="1">
        <v>129.4</v>
      </c>
      <c r="X166" s="1">
        <v>131.9</v>
      </c>
      <c r="Y166" s="1">
        <v>129.4</v>
      </c>
      <c r="Z166" s="1">
        <v>116</v>
      </c>
      <c r="AA166" s="1"/>
      <c r="AB166" s="1">
        <v>126.6</v>
      </c>
      <c r="AC166" s="1">
        <v>136.80000000000001</v>
      </c>
      <c r="AD166" s="1">
        <v>123.6</v>
      </c>
      <c r="AE166" s="1">
        <v>125.9</v>
      </c>
      <c r="AF166" s="1">
        <v>134.19999999999999</v>
      </c>
    </row>
    <row r="167" spans="1:32" x14ac:dyDescent="0.3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f t="shared" si="2"/>
        <v>1792.4999999999998</v>
      </c>
      <c r="R167" s="1">
        <v>149</v>
      </c>
      <c r="S167" s="1">
        <v>145.30000000000001</v>
      </c>
      <c r="T167" s="1">
        <v>139.19999999999999</v>
      </c>
      <c r="U167" s="1">
        <v>144.5</v>
      </c>
      <c r="V167" s="1" t="s">
        <v>32</v>
      </c>
      <c r="W167" s="1">
        <v>136.4</v>
      </c>
      <c r="X167" s="1">
        <v>137.30000000000001</v>
      </c>
      <c r="Y167" s="1">
        <v>133</v>
      </c>
      <c r="Z167" s="1">
        <v>120.3</v>
      </c>
      <c r="AA167" s="1"/>
      <c r="AB167" s="1">
        <v>131.5</v>
      </c>
      <c r="AC167" s="1">
        <v>140.19999999999999</v>
      </c>
      <c r="AD167" s="1">
        <v>125.4</v>
      </c>
      <c r="AE167" s="1">
        <v>129.69999999999999</v>
      </c>
      <c r="AF167" s="1">
        <v>137.80000000000001</v>
      </c>
    </row>
    <row r="168" spans="1:32" x14ac:dyDescent="0.3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f t="shared" si="2"/>
        <v>1772.9999999999998</v>
      </c>
      <c r="R168" s="1">
        <v>152.1</v>
      </c>
      <c r="S168" s="1">
        <v>132.69999999999999</v>
      </c>
      <c r="T168" s="1">
        <v>124.3</v>
      </c>
      <c r="U168" s="1">
        <v>131.4</v>
      </c>
      <c r="V168" s="1">
        <v>134.4</v>
      </c>
      <c r="W168" s="1">
        <v>118.9</v>
      </c>
      <c r="X168" s="1">
        <v>127.7</v>
      </c>
      <c r="Y168" s="1">
        <v>125.7</v>
      </c>
      <c r="Z168" s="1">
        <v>114.6</v>
      </c>
      <c r="AA168" s="1"/>
      <c r="AB168" s="1">
        <v>124.1</v>
      </c>
      <c r="AC168" s="1">
        <v>135.69999999999999</v>
      </c>
      <c r="AD168" s="1">
        <v>123.3</v>
      </c>
      <c r="AE168" s="1">
        <v>123.8</v>
      </c>
      <c r="AF168" s="1">
        <v>132.69999999999999</v>
      </c>
    </row>
    <row r="169" spans="1:32" x14ac:dyDescent="0.3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f t="shared" si="2"/>
        <v>1783.8</v>
      </c>
      <c r="R169" s="1">
        <v>149.80000000000001</v>
      </c>
      <c r="S169" s="1">
        <v>140.30000000000001</v>
      </c>
      <c r="T169" s="1">
        <v>133</v>
      </c>
      <c r="U169" s="1">
        <v>139.30000000000001</v>
      </c>
      <c r="V169" s="1">
        <v>134.4</v>
      </c>
      <c r="W169" s="1">
        <v>129.80000000000001</v>
      </c>
      <c r="X169" s="1">
        <v>132.80000000000001</v>
      </c>
      <c r="Y169" s="1">
        <v>130.19999999999999</v>
      </c>
      <c r="Z169" s="1">
        <v>117.3</v>
      </c>
      <c r="AA169" s="1"/>
      <c r="AB169" s="1">
        <v>127.3</v>
      </c>
      <c r="AC169" s="1">
        <v>137.6</v>
      </c>
      <c r="AD169" s="1">
        <v>124.5</v>
      </c>
      <c r="AE169" s="1">
        <v>126.8</v>
      </c>
      <c r="AF169" s="1">
        <v>135.4</v>
      </c>
    </row>
    <row r="170" spans="1:32" x14ac:dyDescent="0.3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f t="shared" si="2"/>
        <v>1784.3</v>
      </c>
      <c r="R170" s="1">
        <v>149.80000000000001</v>
      </c>
      <c r="S170" s="1">
        <v>146.1</v>
      </c>
      <c r="T170" s="1">
        <v>139.69999999999999</v>
      </c>
      <c r="U170" s="1">
        <v>145.19999999999999</v>
      </c>
      <c r="V170" s="1" t="s">
        <v>32</v>
      </c>
      <c r="W170" s="1">
        <v>137.4</v>
      </c>
      <c r="X170" s="1">
        <v>137.9</v>
      </c>
      <c r="Y170" s="1">
        <v>133.4</v>
      </c>
      <c r="Z170" s="1">
        <v>121.2</v>
      </c>
      <c r="AA170" s="1"/>
      <c r="AB170" s="1">
        <v>132.30000000000001</v>
      </c>
      <c r="AC170" s="1">
        <v>139.6</v>
      </c>
      <c r="AD170" s="1">
        <v>126.7</v>
      </c>
      <c r="AE170" s="1">
        <v>130.30000000000001</v>
      </c>
      <c r="AF170" s="1">
        <v>137.6</v>
      </c>
    </row>
    <row r="171" spans="1:32" x14ac:dyDescent="0.3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f t="shared" si="2"/>
        <v>1749.7</v>
      </c>
      <c r="R171" s="1">
        <v>153.6</v>
      </c>
      <c r="S171" s="1">
        <v>133.30000000000001</v>
      </c>
      <c r="T171" s="1">
        <v>124.6</v>
      </c>
      <c r="U171" s="1">
        <v>132</v>
      </c>
      <c r="V171" s="1">
        <v>135.69999999999999</v>
      </c>
      <c r="W171" s="1">
        <v>120.6</v>
      </c>
      <c r="X171" s="1">
        <v>128.1</v>
      </c>
      <c r="Y171" s="1">
        <v>126.1</v>
      </c>
      <c r="Z171" s="1">
        <v>115.7</v>
      </c>
      <c r="AA171" s="1"/>
      <c r="AB171" s="1">
        <v>124.5</v>
      </c>
      <c r="AC171" s="1">
        <v>135.9</v>
      </c>
      <c r="AD171" s="1">
        <v>124.4</v>
      </c>
      <c r="AE171" s="1">
        <v>124.5</v>
      </c>
      <c r="AF171" s="1">
        <v>132.4</v>
      </c>
    </row>
    <row r="172" spans="1:32" x14ac:dyDescent="0.3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f t="shared" si="2"/>
        <v>1769.9999999999998</v>
      </c>
      <c r="R172" s="1">
        <v>150.80000000000001</v>
      </c>
      <c r="S172" s="1">
        <v>141.1</v>
      </c>
      <c r="T172" s="1">
        <v>133.4</v>
      </c>
      <c r="U172" s="1">
        <v>140</v>
      </c>
      <c r="V172" s="1">
        <v>135.69999999999999</v>
      </c>
      <c r="W172" s="1">
        <v>131</v>
      </c>
      <c r="X172" s="1">
        <v>133.30000000000001</v>
      </c>
      <c r="Y172" s="1">
        <v>130.6</v>
      </c>
      <c r="Z172" s="1">
        <v>118.3</v>
      </c>
      <c r="AA172" s="1"/>
      <c r="AB172" s="1">
        <v>127.9</v>
      </c>
      <c r="AC172" s="1">
        <v>137.4</v>
      </c>
      <c r="AD172" s="1">
        <v>125.7</v>
      </c>
      <c r="AE172" s="1">
        <v>127.5</v>
      </c>
      <c r="AF172" s="1">
        <v>135.19999999999999</v>
      </c>
    </row>
    <row r="173" spans="1:32" x14ac:dyDescent="0.3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f t="shared" si="2"/>
        <v>1790.8999999999999</v>
      </c>
      <c r="R173" s="1">
        <v>150.5</v>
      </c>
      <c r="S173" s="1">
        <v>147.19999999999999</v>
      </c>
      <c r="T173" s="1">
        <v>140.6</v>
      </c>
      <c r="U173" s="1">
        <v>146.19999999999999</v>
      </c>
      <c r="V173" s="1" t="s">
        <v>32</v>
      </c>
      <c r="W173" s="1">
        <v>138.1</v>
      </c>
      <c r="X173" s="1">
        <v>138.4</v>
      </c>
      <c r="Y173" s="1">
        <v>134.19999999999999</v>
      </c>
      <c r="Z173" s="1">
        <v>121</v>
      </c>
      <c r="AA173" s="1"/>
      <c r="AB173" s="1">
        <v>133</v>
      </c>
      <c r="AC173" s="1">
        <v>140.1</v>
      </c>
      <c r="AD173" s="1">
        <v>127.4</v>
      </c>
      <c r="AE173" s="1">
        <v>130.69999999999999</v>
      </c>
      <c r="AF173" s="1">
        <v>138.30000000000001</v>
      </c>
    </row>
    <row r="174" spans="1:32" x14ac:dyDescent="0.3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f t="shared" si="2"/>
        <v>1765.6999999999998</v>
      </c>
      <c r="R174" s="1">
        <v>154.6</v>
      </c>
      <c r="S174" s="1">
        <v>134</v>
      </c>
      <c r="T174" s="1">
        <v>124.9</v>
      </c>
      <c r="U174" s="1">
        <v>132.6</v>
      </c>
      <c r="V174" s="1">
        <v>137.30000000000001</v>
      </c>
      <c r="W174" s="1">
        <v>122.6</v>
      </c>
      <c r="X174" s="1">
        <v>128.30000000000001</v>
      </c>
      <c r="Y174" s="1">
        <v>126.6</v>
      </c>
      <c r="Z174" s="1">
        <v>115</v>
      </c>
      <c r="AA174" s="1"/>
      <c r="AB174" s="1">
        <v>124.8</v>
      </c>
      <c r="AC174" s="1">
        <v>136.30000000000001</v>
      </c>
      <c r="AD174" s="1">
        <v>124.6</v>
      </c>
      <c r="AE174" s="1">
        <v>124.5</v>
      </c>
      <c r="AF174" s="1">
        <v>133.5</v>
      </c>
    </row>
    <row r="175" spans="1:32" x14ac:dyDescent="0.3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f t="shared" si="2"/>
        <v>1779.6999999999998</v>
      </c>
      <c r="R175" s="1">
        <v>151.6</v>
      </c>
      <c r="S175" s="1">
        <v>142</v>
      </c>
      <c r="T175" s="1">
        <v>134.1</v>
      </c>
      <c r="U175" s="1">
        <v>140.80000000000001</v>
      </c>
      <c r="V175" s="1">
        <v>137.30000000000001</v>
      </c>
      <c r="W175" s="1">
        <v>132.19999999999999</v>
      </c>
      <c r="X175" s="1">
        <v>133.6</v>
      </c>
      <c r="Y175" s="1">
        <v>131.30000000000001</v>
      </c>
      <c r="Z175" s="1">
        <v>117.8</v>
      </c>
      <c r="AA175" s="1"/>
      <c r="AB175" s="1">
        <v>128.4</v>
      </c>
      <c r="AC175" s="1">
        <v>137.9</v>
      </c>
      <c r="AD175" s="1">
        <v>126.2</v>
      </c>
      <c r="AE175" s="1">
        <v>127.7</v>
      </c>
      <c r="AF175" s="1">
        <v>136.1</v>
      </c>
    </row>
    <row r="176" spans="1:32" x14ac:dyDescent="0.3">
      <c r="A176" s="1" t="s">
        <v>30</v>
      </c>
      <c r="B176" s="1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f t="shared" si="2"/>
        <v>1817.7000000000003</v>
      </c>
      <c r="R176" s="1">
        <v>152.1</v>
      </c>
      <c r="S176" s="1">
        <v>148.19999999999999</v>
      </c>
      <c r="T176" s="1">
        <v>141.5</v>
      </c>
      <c r="U176" s="1">
        <v>147.30000000000001</v>
      </c>
      <c r="V176" s="1" t="s">
        <v>32</v>
      </c>
      <c r="W176" s="1">
        <v>141.1</v>
      </c>
      <c r="X176" s="1">
        <v>139.4</v>
      </c>
      <c r="Y176" s="1">
        <v>135.80000000000001</v>
      </c>
      <c r="Z176" s="1">
        <v>121.6</v>
      </c>
      <c r="AA176" s="1"/>
      <c r="AB176" s="1">
        <v>133.69999999999999</v>
      </c>
      <c r="AC176" s="1">
        <v>141.5</v>
      </c>
      <c r="AD176" s="1">
        <v>128.1</v>
      </c>
      <c r="AE176" s="1">
        <v>131.69999999999999</v>
      </c>
      <c r="AF176" s="1">
        <v>140</v>
      </c>
    </row>
    <row r="177" spans="1:32" x14ac:dyDescent="0.3">
      <c r="A177" s="1" t="s">
        <v>33</v>
      </c>
      <c r="B177" s="1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f t="shared" si="2"/>
        <v>1796.7</v>
      </c>
      <c r="R177" s="1">
        <v>156.19999999999999</v>
      </c>
      <c r="S177" s="1">
        <v>135</v>
      </c>
      <c r="T177" s="1">
        <v>125.4</v>
      </c>
      <c r="U177" s="1">
        <v>133.5</v>
      </c>
      <c r="V177" s="1">
        <v>138.6</v>
      </c>
      <c r="W177" s="1">
        <v>125.7</v>
      </c>
      <c r="X177" s="1">
        <v>128.80000000000001</v>
      </c>
      <c r="Y177" s="1">
        <v>127.4</v>
      </c>
      <c r="Z177" s="1">
        <v>115.3</v>
      </c>
      <c r="AA177" s="1"/>
      <c r="AB177" s="1">
        <v>125.1</v>
      </c>
      <c r="AC177" s="1">
        <v>136.6</v>
      </c>
      <c r="AD177" s="1">
        <v>124.9</v>
      </c>
      <c r="AE177" s="1">
        <v>124.9</v>
      </c>
      <c r="AF177" s="1">
        <v>134.80000000000001</v>
      </c>
    </row>
    <row r="178" spans="1:32" x14ac:dyDescent="0.3">
      <c r="A178" s="1" t="s">
        <v>34</v>
      </c>
      <c r="B178" s="1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f t="shared" si="2"/>
        <v>1808.2</v>
      </c>
      <c r="R178" s="1">
        <v>153.19999999999999</v>
      </c>
      <c r="S178" s="1">
        <v>143</v>
      </c>
      <c r="T178" s="1">
        <v>134.80000000000001</v>
      </c>
      <c r="U178" s="1">
        <v>141.80000000000001</v>
      </c>
      <c r="V178" s="1">
        <v>138.6</v>
      </c>
      <c r="W178" s="1">
        <v>135.30000000000001</v>
      </c>
      <c r="X178" s="1">
        <v>134.4</v>
      </c>
      <c r="Y178" s="1">
        <v>132.6</v>
      </c>
      <c r="Z178" s="1">
        <v>118.3</v>
      </c>
      <c r="AA178" s="1"/>
      <c r="AB178" s="1">
        <v>128.9</v>
      </c>
      <c r="AC178" s="1">
        <v>138.6</v>
      </c>
      <c r="AD178" s="1">
        <v>126.8</v>
      </c>
      <c r="AE178" s="1">
        <v>128.4</v>
      </c>
      <c r="AF178" s="1">
        <v>137.6</v>
      </c>
    </row>
    <row r="179" spans="1:32" x14ac:dyDescent="0.3">
      <c r="A179" s="1" t="s">
        <v>30</v>
      </c>
      <c r="B179" s="1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f t="shared" si="2"/>
        <v>1813.6000000000001</v>
      </c>
      <c r="R179" s="1">
        <v>153.19999999999999</v>
      </c>
      <c r="S179" s="1">
        <v>148</v>
      </c>
      <c r="T179" s="1">
        <v>141.9</v>
      </c>
      <c r="U179" s="1">
        <v>147.19999999999999</v>
      </c>
      <c r="V179" s="1" t="s">
        <v>32</v>
      </c>
      <c r="W179" s="1">
        <v>142.6</v>
      </c>
      <c r="X179" s="1">
        <v>139.5</v>
      </c>
      <c r="Y179" s="1">
        <v>136.1</v>
      </c>
      <c r="Z179" s="1">
        <v>122</v>
      </c>
      <c r="AA179" s="1"/>
      <c r="AB179" s="1">
        <v>133.4</v>
      </c>
      <c r="AC179" s="1">
        <v>141.1</v>
      </c>
      <c r="AD179" s="1">
        <v>127.8</v>
      </c>
      <c r="AE179" s="1">
        <v>131.9</v>
      </c>
      <c r="AF179" s="1">
        <v>139.80000000000001</v>
      </c>
    </row>
    <row r="180" spans="1:32" x14ac:dyDescent="0.3">
      <c r="A180" s="1" t="s">
        <v>33</v>
      </c>
      <c r="B180" s="1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f t="shared" si="2"/>
        <v>1767.5</v>
      </c>
      <c r="R180" s="1">
        <v>157</v>
      </c>
      <c r="S180" s="1">
        <v>135.6</v>
      </c>
      <c r="T180" s="1">
        <v>125.6</v>
      </c>
      <c r="U180" s="1">
        <v>134</v>
      </c>
      <c r="V180" s="1">
        <v>139.1</v>
      </c>
      <c r="W180" s="1">
        <v>126.8</v>
      </c>
      <c r="X180" s="1">
        <v>129.30000000000001</v>
      </c>
      <c r="Y180" s="1">
        <v>128.19999999999999</v>
      </c>
      <c r="Z180" s="1">
        <v>115.3</v>
      </c>
      <c r="AA180" s="1"/>
      <c r="AB180" s="1">
        <v>125.6</v>
      </c>
      <c r="AC180" s="1">
        <v>136.69999999999999</v>
      </c>
      <c r="AD180" s="1">
        <v>124.6</v>
      </c>
      <c r="AE180" s="1">
        <v>125.1</v>
      </c>
      <c r="AF180" s="1">
        <v>134.1</v>
      </c>
    </row>
    <row r="181" spans="1:32" x14ac:dyDescent="0.3">
      <c r="A181" s="1" t="s">
        <v>34</v>
      </c>
      <c r="B181" s="1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f t="shared" si="2"/>
        <v>1794.9999999999998</v>
      </c>
      <c r="R181" s="1">
        <v>154.19999999999999</v>
      </c>
      <c r="S181" s="1">
        <v>143.1</v>
      </c>
      <c r="T181" s="1">
        <v>135.1</v>
      </c>
      <c r="U181" s="1">
        <v>142</v>
      </c>
      <c r="V181" s="1">
        <v>139.1</v>
      </c>
      <c r="W181" s="1">
        <v>136.6</v>
      </c>
      <c r="X181" s="1">
        <v>134.69999999999999</v>
      </c>
      <c r="Y181" s="1">
        <v>133.1</v>
      </c>
      <c r="Z181" s="1">
        <v>118.5</v>
      </c>
      <c r="AA181" s="1"/>
      <c r="AB181" s="1">
        <v>129</v>
      </c>
      <c r="AC181" s="1">
        <v>138.5</v>
      </c>
      <c r="AD181" s="1">
        <v>126.5</v>
      </c>
      <c r="AE181" s="1">
        <v>128.6</v>
      </c>
      <c r="AF181" s="1">
        <v>137.19999999999999</v>
      </c>
    </row>
    <row r="182" spans="1:32" x14ac:dyDescent="0.3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f t="shared" si="2"/>
        <v>1800.7</v>
      </c>
      <c r="R182" s="1">
        <v>153.6</v>
      </c>
      <c r="S182" s="1">
        <v>148.30000000000001</v>
      </c>
      <c r="T182" s="1">
        <v>142.30000000000001</v>
      </c>
      <c r="U182" s="1">
        <v>147.5</v>
      </c>
      <c r="V182" s="1" t="s">
        <v>32</v>
      </c>
      <c r="W182" s="1">
        <v>142.30000000000001</v>
      </c>
      <c r="X182" s="1">
        <v>139.80000000000001</v>
      </c>
      <c r="Y182" s="1">
        <v>136</v>
      </c>
      <c r="Z182" s="1">
        <v>122.7</v>
      </c>
      <c r="AA182" s="1"/>
      <c r="AB182" s="1">
        <v>134.30000000000001</v>
      </c>
      <c r="AC182" s="1">
        <v>141.6</v>
      </c>
      <c r="AD182" s="1">
        <v>128.6</v>
      </c>
      <c r="AE182" s="1">
        <v>132.30000000000001</v>
      </c>
      <c r="AF182" s="1">
        <v>139.30000000000001</v>
      </c>
    </row>
    <row r="183" spans="1:32" x14ac:dyDescent="0.3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f t="shared" si="2"/>
        <v>1748.3000000000002</v>
      </c>
      <c r="R183" s="1">
        <v>157.69999999999999</v>
      </c>
      <c r="S183" s="1">
        <v>136</v>
      </c>
      <c r="T183" s="1">
        <v>125.9</v>
      </c>
      <c r="U183" s="1">
        <v>134.4</v>
      </c>
      <c r="V183" s="1">
        <v>140.4</v>
      </c>
      <c r="W183" s="1">
        <v>127.3</v>
      </c>
      <c r="X183" s="1">
        <v>129.5</v>
      </c>
      <c r="Y183" s="1">
        <v>129</v>
      </c>
      <c r="Z183" s="1">
        <v>116.3</v>
      </c>
      <c r="AA183" s="1"/>
      <c r="AB183" s="1">
        <v>126.2</v>
      </c>
      <c r="AC183" s="1">
        <v>137.1</v>
      </c>
      <c r="AD183" s="1">
        <v>125.5</v>
      </c>
      <c r="AE183" s="1">
        <v>125.8</v>
      </c>
      <c r="AF183" s="1">
        <v>134.1</v>
      </c>
    </row>
    <row r="184" spans="1:32" x14ac:dyDescent="0.3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f t="shared" si="2"/>
        <v>1779.9</v>
      </c>
      <c r="R184" s="1">
        <v>154.69999999999999</v>
      </c>
      <c r="S184" s="1">
        <v>143.5</v>
      </c>
      <c r="T184" s="1">
        <v>135.5</v>
      </c>
      <c r="U184" s="1">
        <v>142.30000000000001</v>
      </c>
      <c r="V184" s="1">
        <v>140.4</v>
      </c>
      <c r="W184" s="1">
        <v>136.6</v>
      </c>
      <c r="X184" s="1">
        <v>134.9</v>
      </c>
      <c r="Y184" s="1">
        <v>133.30000000000001</v>
      </c>
      <c r="Z184" s="1">
        <v>119.3</v>
      </c>
      <c r="AA184" s="1"/>
      <c r="AB184" s="1">
        <v>129.69999999999999</v>
      </c>
      <c r="AC184" s="1">
        <v>139</v>
      </c>
      <c r="AD184" s="1">
        <v>127.3</v>
      </c>
      <c r="AE184" s="1">
        <v>129.1</v>
      </c>
      <c r="AF184" s="1">
        <v>136.9</v>
      </c>
    </row>
    <row r="185" spans="1:32" x14ac:dyDescent="0.3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f t="shared" si="2"/>
        <v>1781.5</v>
      </c>
      <c r="R185" s="1">
        <v>153.30000000000001</v>
      </c>
      <c r="S185" s="1">
        <v>148.69999999999999</v>
      </c>
      <c r="T185" s="1">
        <v>142.4</v>
      </c>
      <c r="U185" s="1">
        <v>147.80000000000001</v>
      </c>
      <c r="V185" s="1" t="s">
        <v>32</v>
      </c>
      <c r="W185" s="1">
        <v>142.4</v>
      </c>
      <c r="X185" s="1">
        <v>139.9</v>
      </c>
      <c r="Y185" s="1">
        <v>136.19999999999999</v>
      </c>
      <c r="Z185" s="1">
        <v>123.3</v>
      </c>
      <c r="AA185" s="1"/>
      <c r="AB185" s="1">
        <v>134.30000000000001</v>
      </c>
      <c r="AC185" s="1">
        <v>141.5</v>
      </c>
      <c r="AD185" s="1">
        <v>128.80000000000001</v>
      </c>
      <c r="AE185" s="1">
        <v>132.5</v>
      </c>
      <c r="AF185" s="1">
        <v>138.5</v>
      </c>
    </row>
    <row r="186" spans="1:32" x14ac:dyDescent="0.3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f t="shared" si="2"/>
        <v>1727.9</v>
      </c>
      <c r="R186" s="1">
        <v>159.30000000000001</v>
      </c>
      <c r="S186" s="1">
        <v>136.30000000000001</v>
      </c>
      <c r="T186" s="1">
        <v>126.1</v>
      </c>
      <c r="U186" s="1">
        <v>134.69999999999999</v>
      </c>
      <c r="V186" s="1">
        <v>141.30000000000001</v>
      </c>
      <c r="W186" s="1">
        <v>127.3</v>
      </c>
      <c r="X186" s="1">
        <v>129.9</v>
      </c>
      <c r="Y186" s="1">
        <v>129.80000000000001</v>
      </c>
      <c r="Z186" s="1">
        <v>117.4</v>
      </c>
      <c r="AA186" s="1"/>
      <c r="AB186" s="1">
        <v>126.5</v>
      </c>
      <c r="AC186" s="1">
        <v>137.19999999999999</v>
      </c>
      <c r="AD186" s="1">
        <v>126.2</v>
      </c>
      <c r="AE186" s="1">
        <v>126.5</v>
      </c>
      <c r="AF186" s="1">
        <v>134</v>
      </c>
    </row>
    <row r="187" spans="1:32" x14ac:dyDescent="0.3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f t="shared" si="2"/>
        <v>1760.3999999999996</v>
      </c>
      <c r="R187" s="1">
        <v>154.9</v>
      </c>
      <c r="S187" s="1">
        <v>143.80000000000001</v>
      </c>
      <c r="T187" s="1">
        <v>135.6</v>
      </c>
      <c r="U187" s="1">
        <v>142.6</v>
      </c>
      <c r="V187" s="1">
        <v>141.30000000000001</v>
      </c>
      <c r="W187" s="1">
        <v>136.69999999999999</v>
      </c>
      <c r="X187" s="1">
        <v>135.19999999999999</v>
      </c>
      <c r="Y187" s="1">
        <v>133.80000000000001</v>
      </c>
      <c r="Z187" s="1">
        <v>120.2</v>
      </c>
      <c r="AA187" s="1"/>
      <c r="AB187" s="1">
        <v>129.9</v>
      </c>
      <c r="AC187" s="1">
        <v>139</v>
      </c>
      <c r="AD187" s="1">
        <v>127.7</v>
      </c>
      <c r="AE187" s="1">
        <v>129.6</v>
      </c>
      <c r="AF187" s="1">
        <v>136.4</v>
      </c>
    </row>
    <row r="188" spans="1:32" x14ac:dyDescent="0.3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f t="shared" si="2"/>
        <v>1781.9999999999998</v>
      </c>
      <c r="R188" s="1">
        <v>155.1</v>
      </c>
      <c r="S188" s="1">
        <v>149.19999999999999</v>
      </c>
      <c r="T188" s="1">
        <v>143</v>
      </c>
      <c r="U188" s="1">
        <v>148.30000000000001</v>
      </c>
      <c r="V188" s="1" t="s">
        <v>32</v>
      </c>
      <c r="W188" s="1">
        <v>142.6</v>
      </c>
      <c r="X188" s="1">
        <v>139.9</v>
      </c>
      <c r="Y188" s="1">
        <v>136.69999999999999</v>
      </c>
      <c r="Z188" s="1">
        <v>124.6</v>
      </c>
      <c r="AA188" s="1">
        <f t="shared" ref="AA188:AA190" si="4">X188+Z188</f>
        <v>264.5</v>
      </c>
      <c r="AB188" s="1">
        <v>135.1</v>
      </c>
      <c r="AC188" s="1">
        <v>142.69999999999999</v>
      </c>
      <c r="AD188" s="1">
        <v>129.30000000000001</v>
      </c>
      <c r="AE188" s="1">
        <v>133.30000000000001</v>
      </c>
      <c r="AF188" s="1">
        <v>138.69999999999999</v>
      </c>
    </row>
    <row r="189" spans="1:32" x14ac:dyDescent="0.3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f t="shared" si="2"/>
        <v>1715.5</v>
      </c>
      <c r="R189" s="1">
        <v>159.69999999999999</v>
      </c>
      <c r="S189" s="1">
        <v>136.69999999999999</v>
      </c>
      <c r="T189" s="1">
        <v>126.7</v>
      </c>
      <c r="U189" s="1">
        <v>135.19999999999999</v>
      </c>
      <c r="V189" s="1">
        <v>142</v>
      </c>
      <c r="W189" s="1">
        <v>126.4</v>
      </c>
      <c r="X189" s="1">
        <v>130.80000000000001</v>
      </c>
      <c r="Y189" s="1">
        <v>130.5</v>
      </c>
      <c r="Z189" s="1">
        <v>117.8</v>
      </c>
      <c r="AA189" s="1">
        <f t="shared" si="4"/>
        <v>248.60000000000002</v>
      </c>
      <c r="AB189" s="1">
        <v>126.8</v>
      </c>
      <c r="AC189" s="1">
        <v>137.80000000000001</v>
      </c>
      <c r="AD189" s="1">
        <v>126.7</v>
      </c>
      <c r="AE189" s="1">
        <v>127.1</v>
      </c>
      <c r="AF189" s="1">
        <v>134</v>
      </c>
    </row>
    <row r="190" spans="1:32" x14ac:dyDescent="0.3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f t="shared" si="2"/>
        <v>1756</v>
      </c>
      <c r="R190" s="1">
        <v>156.30000000000001</v>
      </c>
      <c r="S190" s="1">
        <v>144.30000000000001</v>
      </c>
      <c r="T190" s="1">
        <v>136.19999999999999</v>
      </c>
      <c r="U190" s="1">
        <v>143.1</v>
      </c>
      <c r="V190" s="1">
        <v>142</v>
      </c>
      <c r="W190" s="1">
        <v>136.5</v>
      </c>
      <c r="X190" s="1">
        <v>135.6</v>
      </c>
      <c r="Y190" s="1">
        <v>134.30000000000001</v>
      </c>
      <c r="Z190" s="1">
        <v>121</v>
      </c>
      <c r="AA190" s="1">
        <f t="shared" si="4"/>
        <v>256.60000000000002</v>
      </c>
      <c r="AB190" s="1">
        <v>130.4</v>
      </c>
      <c r="AC190" s="1">
        <v>139.80000000000001</v>
      </c>
      <c r="AD190" s="1">
        <v>128.19999999999999</v>
      </c>
      <c r="AE190" s="1">
        <v>130.30000000000001</v>
      </c>
      <c r="AF190" s="1">
        <v>136.5</v>
      </c>
    </row>
    <row r="191" spans="1:32" x14ac:dyDescent="0.3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f t="shared" si="2"/>
        <v>1780</v>
      </c>
      <c r="R191" s="1">
        <v>156.1</v>
      </c>
      <c r="S191" s="1">
        <v>150.1</v>
      </c>
      <c r="T191" s="1">
        <v>143.30000000000001</v>
      </c>
      <c r="U191" s="1">
        <v>149.1</v>
      </c>
      <c r="V191" s="1" t="s">
        <v>32</v>
      </c>
      <c r="W191" s="1">
        <v>143.80000000000001</v>
      </c>
      <c r="X191" s="1">
        <v>140.9</v>
      </c>
      <c r="Y191" s="1">
        <v>137.6</v>
      </c>
      <c r="Z191" s="1">
        <v>125.3</v>
      </c>
      <c r="AA191" s="1"/>
      <c r="AB191" s="1">
        <v>136</v>
      </c>
      <c r="AC191" s="1">
        <v>143.69999999999999</v>
      </c>
      <c r="AD191" s="1">
        <v>130.4</v>
      </c>
      <c r="AE191" s="1">
        <v>134.19999999999999</v>
      </c>
      <c r="AF191" s="1">
        <v>139.1</v>
      </c>
    </row>
    <row r="192" spans="1:32" x14ac:dyDescent="0.3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f t="shared" si="2"/>
        <v>1720.0000000000002</v>
      </c>
      <c r="R192" s="1">
        <v>159.19999999999999</v>
      </c>
      <c r="S192" s="1">
        <v>137.80000000000001</v>
      </c>
      <c r="T192" s="1">
        <v>127.4</v>
      </c>
      <c r="U192" s="1">
        <v>136.19999999999999</v>
      </c>
      <c r="V192" s="1">
        <v>142.9</v>
      </c>
      <c r="W192" s="1">
        <v>124.6</v>
      </c>
      <c r="X192" s="1">
        <v>131.80000000000001</v>
      </c>
      <c r="Y192" s="1">
        <v>131.30000000000001</v>
      </c>
      <c r="Z192" s="1">
        <v>118.9</v>
      </c>
      <c r="AA192" s="1"/>
      <c r="AB192" s="1">
        <v>127.6</v>
      </c>
      <c r="AC192" s="1">
        <v>139.69999999999999</v>
      </c>
      <c r="AD192" s="1">
        <v>127.6</v>
      </c>
      <c r="AE192" s="1">
        <v>128.19999999999999</v>
      </c>
      <c r="AF192" s="1">
        <v>134.80000000000001</v>
      </c>
    </row>
    <row r="193" spans="1:32" x14ac:dyDescent="0.3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f t="shared" si="2"/>
        <v>1757.1000000000001</v>
      </c>
      <c r="R193" s="1">
        <v>156.9</v>
      </c>
      <c r="S193" s="1">
        <v>145.30000000000001</v>
      </c>
      <c r="T193" s="1">
        <v>136.69999999999999</v>
      </c>
      <c r="U193" s="1">
        <v>144</v>
      </c>
      <c r="V193" s="1">
        <v>142.9</v>
      </c>
      <c r="W193" s="1">
        <v>136.5</v>
      </c>
      <c r="X193" s="1">
        <v>136.6</v>
      </c>
      <c r="Y193" s="1">
        <v>135.19999999999999</v>
      </c>
      <c r="Z193" s="1">
        <v>121.9</v>
      </c>
      <c r="AA193" s="1"/>
      <c r="AB193" s="1">
        <v>131.30000000000001</v>
      </c>
      <c r="AC193" s="1">
        <v>141.4</v>
      </c>
      <c r="AD193" s="1">
        <v>129.19999999999999</v>
      </c>
      <c r="AE193" s="1">
        <v>131.30000000000001</v>
      </c>
      <c r="AF193" s="1">
        <v>137.1</v>
      </c>
    </row>
    <row r="194" spans="1:32" x14ac:dyDescent="0.3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f t="shared" si="2"/>
        <v>1782.4</v>
      </c>
      <c r="R194" s="1">
        <v>157</v>
      </c>
      <c r="S194" s="1">
        <v>150.80000000000001</v>
      </c>
      <c r="T194" s="1">
        <v>144.1</v>
      </c>
      <c r="U194" s="1">
        <v>149.80000000000001</v>
      </c>
      <c r="V194" s="1" t="s">
        <v>32</v>
      </c>
      <c r="W194" s="1">
        <v>144.30000000000001</v>
      </c>
      <c r="X194" s="1">
        <v>141.80000000000001</v>
      </c>
      <c r="Y194" s="1">
        <v>138.4</v>
      </c>
      <c r="Z194" s="1">
        <v>126.4</v>
      </c>
      <c r="AA194" s="1"/>
      <c r="AB194" s="1">
        <v>136.80000000000001</v>
      </c>
      <c r="AC194" s="1">
        <v>144.4</v>
      </c>
      <c r="AD194" s="1">
        <v>131.19999999999999</v>
      </c>
      <c r="AE194" s="1">
        <v>135.1</v>
      </c>
      <c r="AF194" s="1">
        <v>139.80000000000001</v>
      </c>
    </row>
    <row r="195" spans="1:32" x14ac:dyDescent="0.3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f t="shared" ref="Q195:Q258" si="5">SUM(D195:P195)</f>
        <v>1722.8999999999999</v>
      </c>
      <c r="R195" s="1">
        <v>160.30000000000001</v>
      </c>
      <c r="S195" s="1">
        <v>138.6</v>
      </c>
      <c r="T195" s="1">
        <v>127.9</v>
      </c>
      <c r="U195" s="1">
        <v>137</v>
      </c>
      <c r="V195" s="1">
        <v>143.19999999999999</v>
      </c>
      <c r="W195" s="1">
        <v>124.7</v>
      </c>
      <c r="X195" s="1">
        <v>132.5</v>
      </c>
      <c r="Y195" s="1">
        <v>132</v>
      </c>
      <c r="Z195" s="1">
        <v>119.8</v>
      </c>
      <c r="AA195" s="1"/>
      <c r="AB195" s="1">
        <v>128</v>
      </c>
      <c r="AC195" s="1">
        <v>140.4</v>
      </c>
      <c r="AD195" s="1">
        <v>128.1</v>
      </c>
      <c r="AE195" s="1">
        <v>128.9</v>
      </c>
      <c r="AF195" s="1">
        <v>135.4</v>
      </c>
    </row>
    <row r="196" spans="1:32" x14ac:dyDescent="0.3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f t="shared" si="5"/>
        <v>1759.8</v>
      </c>
      <c r="R196" s="1">
        <v>157.9</v>
      </c>
      <c r="S196" s="1">
        <v>146</v>
      </c>
      <c r="T196" s="1">
        <v>137.4</v>
      </c>
      <c r="U196" s="1">
        <v>144.69999999999999</v>
      </c>
      <c r="V196" s="1">
        <v>143.19999999999999</v>
      </c>
      <c r="W196" s="1">
        <v>136.9</v>
      </c>
      <c r="X196" s="1">
        <v>137.4</v>
      </c>
      <c r="Y196" s="1">
        <v>136</v>
      </c>
      <c r="Z196" s="1">
        <v>122.9</v>
      </c>
      <c r="AA196" s="1"/>
      <c r="AB196" s="1">
        <v>131.80000000000001</v>
      </c>
      <c r="AC196" s="1">
        <v>142.1</v>
      </c>
      <c r="AD196" s="1">
        <v>129.9</v>
      </c>
      <c r="AE196" s="1">
        <v>132.1</v>
      </c>
      <c r="AF196" s="1">
        <v>137.80000000000001</v>
      </c>
    </row>
    <row r="197" spans="1:32" x14ac:dyDescent="0.3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f t="shared" si="5"/>
        <v>1790.2999999999997</v>
      </c>
      <c r="R197" s="1">
        <v>157.30000000000001</v>
      </c>
      <c r="S197" s="1">
        <v>151.30000000000001</v>
      </c>
      <c r="T197" s="1">
        <v>144.69999999999999</v>
      </c>
      <c r="U197" s="1">
        <v>150.30000000000001</v>
      </c>
      <c r="V197" s="1" t="s">
        <v>32</v>
      </c>
      <c r="W197" s="1">
        <v>145.1</v>
      </c>
      <c r="X197" s="1">
        <v>142.19999999999999</v>
      </c>
      <c r="Y197" s="1">
        <v>138.4</v>
      </c>
      <c r="Z197" s="1">
        <v>127.4</v>
      </c>
      <c r="AA197" s="1"/>
      <c r="AB197" s="1">
        <v>137.80000000000001</v>
      </c>
      <c r="AC197" s="1">
        <v>145.1</v>
      </c>
      <c r="AD197" s="1">
        <v>131.4</v>
      </c>
      <c r="AE197" s="1">
        <v>135.6</v>
      </c>
      <c r="AF197" s="1">
        <v>140.5</v>
      </c>
    </row>
    <row r="198" spans="1:32" x14ac:dyDescent="0.3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f t="shared" si="5"/>
        <v>1747.3000000000002</v>
      </c>
      <c r="R198" s="1">
        <v>161</v>
      </c>
      <c r="S198" s="1">
        <v>138.9</v>
      </c>
      <c r="T198" s="1">
        <v>128.69999999999999</v>
      </c>
      <c r="U198" s="1">
        <v>137.4</v>
      </c>
      <c r="V198" s="1">
        <v>142.5</v>
      </c>
      <c r="W198" s="1">
        <v>126.5</v>
      </c>
      <c r="X198" s="1">
        <v>133.1</v>
      </c>
      <c r="Y198" s="1">
        <v>132.6</v>
      </c>
      <c r="Z198" s="1">
        <v>120.4</v>
      </c>
      <c r="AA198" s="1"/>
      <c r="AB198" s="1">
        <v>128.5</v>
      </c>
      <c r="AC198" s="1">
        <v>141.19999999999999</v>
      </c>
      <c r="AD198" s="1">
        <v>128.19999999999999</v>
      </c>
      <c r="AE198" s="1">
        <v>129.5</v>
      </c>
      <c r="AF198" s="1">
        <v>136.19999999999999</v>
      </c>
    </row>
    <row r="199" spans="1:32" x14ac:dyDescent="0.3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f t="shared" si="5"/>
        <v>1774.1000000000001</v>
      </c>
      <c r="R199" s="1">
        <v>158.30000000000001</v>
      </c>
      <c r="S199" s="1">
        <v>146.4</v>
      </c>
      <c r="T199" s="1">
        <v>138.1</v>
      </c>
      <c r="U199" s="1">
        <v>145.19999999999999</v>
      </c>
      <c r="V199" s="1">
        <v>142.5</v>
      </c>
      <c r="W199" s="1">
        <v>138.1</v>
      </c>
      <c r="X199" s="1">
        <v>137.9</v>
      </c>
      <c r="Y199" s="1">
        <v>136.19999999999999</v>
      </c>
      <c r="Z199" s="1">
        <v>123.7</v>
      </c>
      <c r="AA199" s="1"/>
      <c r="AB199" s="1">
        <v>132.6</v>
      </c>
      <c r="AC199" s="1">
        <v>142.80000000000001</v>
      </c>
      <c r="AD199" s="1">
        <v>130.1</v>
      </c>
      <c r="AE199" s="1">
        <v>132.6</v>
      </c>
      <c r="AF199" s="1">
        <v>138.5</v>
      </c>
    </row>
    <row r="200" spans="1:32" x14ac:dyDescent="0.3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f t="shared" si="5"/>
        <v>1810.5000000000002</v>
      </c>
      <c r="R200" s="1">
        <v>156.1</v>
      </c>
      <c r="S200" s="1">
        <v>151.5</v>
      </c>
      <c r="T200" s="1">
        <v>145.1</v>
      </c>
      <c r="U200" s="1">
        <v>150.6</v>
      </c>
      <c r="V200" s="1" t="s">
        <v>32</v>
      </c>
      <c r="W200" s="1">
        <v>146.80000000000001</v>
      </c>
      <c r="X200" s="1">
        <v>143.1</v>
      </c>
      <c r="Y200" s="1">
        <v>139</v>
      </c>
      <c r="Z200" s="1">
        <v>127.5</v>
      </c>
      <c r="AA200" s="1"/>
      <c r="AB200" s="1">
        <v>138.4</v>
      </c>
      <c r="AC200" s="1">
        <v>145.80000000000001</v>
      </c>
      <c r="AD200" s="1">
        <v>131.4</v>
      </c>
      <c r="AE200" s="1">
        <v>136</v>
      </c>
      <c r="AF200" s="1">
        <v>141.80000000000001</v>
      </c>
    </row>
    <row r="201" spans="1:32" x14ac:dyDescent="0.3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f t="shared" si="5"/>
        <v>1771.1</v>
      </c>
      <c r="R201" s="1">
        <v>161.4</v>
      </c>
      <c r="S201" s="1">
        <v>139.6</v>
      </c>
      <c r="T201" s="1">
        <v>128.9</v>
      </c>
      <c r="U201" s="1">
        <v>137.9</v>
      </c>
      <c r="V201" s="1">
        <v>143.6</v>
      </c>
      <c r="W201" s="1">
        <v>128.1</v>
      </c>
      <c r="X201" s="1">
        <v>133.6</v>
      </c>
      <c r="Y201" s="1">
        <v>133.6</v>
      </c>
      <c r="Z201" s="1">
        <v>120.1</v>
      </c>
      <c r="AA201" s="1"/>
      <c r="AB201" s="1">
        <v>129</v>
      </c>
      <c r="AC201" s="1">
        <v>144</v>
      </c>
      <c r="AD201" s="1">
        <v>128.19999999999999</v>
      </c>
      <c r="AE201" s="1">
        <v>130.19999999999999</v>
      </c>
      <c r="AF201" s="1">
        <v>137.5</v>
      </c>
    </row>
    <row r="202" spans="1:32" x14ac:dyDescent="0.3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f t="shared" si="5"/>
        <v>1795.3</v>
      </c>
      <c r="R202" s="1">
        <v>157.5</v>
      </c>
      <c r="S202" s="1">
        <v>146.80000000000001</v>
      </c>
      <c r="T202" s="1">
        <v>138.4</v>
      </c>
      <c r="U202" s="1">
        <v>145.6</v>
      </c>
      <c r="V202" s="1">
        <v>143.6</v>
      </c>
      <c r="W202" s="1">
        <v>139.69999999999999</v>
      </c>
      <c r="X202" s="1">
        <v>138.6</v>
      </c>
      <c r="Y202" s="1">
        <v>137</v>
      </c>
      <c r="Z202" s="1">
        <v>123.6</v>
      </c>
      <c r="AA202" s="1"/>
      <c r="AB202" s="1">
        <v>133.1</v>
      </c>
      <c r="AC202" s="1">
        <v>144.69999999999999</v>
      </c>
      <c r="AD202" s="1">
        <v>130.1</v>
      </c>
      <c r="AE202" s="1">
        <v>133.19999999999999</v>
      </c>
      <c r="AF202" s="1">
        <v>139.80000000000001</v>
      </c>
    </row>
    <row r="203" spans="1:32" x14ac:dyDescent="0.3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f t="shared" si="5"/>
        <v>1818.8</v>
      </c>
      <c r="R203" s="1">
        <v>156.4</v>
      </c>
      <c r="S203" s="1">
        <v>152.1</v>
      </c>
      <c r="T203" s="1">
        <v>145.80000000000001</v>
      </c>
      <c r="U203" s="1">
        <v>151.30000000000001</v>
      </c>
      <c r="V203" s="1" t="s">
        <v>32</v>
      </c>
      <c r="W203" s="1">
        <v>147.69999999999999</v>
      </c>
      <c r="X203" s="1">
        <v>143.80000000000001</v>
      </c>
      <c r="Y203" s="1">
        <v>139.4</v>
      </c>
      <c r="Z203" s="1">
        <v>128.30000000000001</v>
      </c>
      <c r="AA203" s="1"/>
      <c r="AB203" s="1">
        <v>138.6</v>
      </c>
      <c r="AC203" s="1">
        <v>146.9</v>
      </c>
      <c r="AD203" s="1">
        <v>131.30000000000001</v>
      </c>
      <c r="AE203" s="1">
        <v>136.6</v>
      </c>
      <c r="AF203" s="1">
        <v>142.5</v>
      </c>
    </row>
    <row r="204" spans="1:32" x14ac:dyDescent="0.3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f t="shared" si="5"/>
        <v>1767.6</v>
      </c>
      <c r="R204" s="1">
        <v>162.1</v>
      </c>
      <c r="S204" s="1">
        <v>140</v>
      </c>
      <c r="T204" s="1">
        <v>129</v>
      </c>
      <c r="U204" s="1">
        <v>138.30000000000001</v>
      </c>
      <c r="V204" s="1">
        <v>144.6</v>
      </c>
      <c r="W204" s="1">
        <v>129.80000000000001</v>
      </c>
      <c r="X204" s="1">
        <v>134.4</v>
      </c>
      <c r="Y204" s="1">
        <v>134.9</v>
      </c>
      <c r="Z204" s="1">
        <v>120.7</v>
      </c>
      <c r="AA204" s="1"/>
      <c r="AB204" s="1">
        <v>129.80000000000001</v>
      </c>
      <c r="AC204" s="1">
        <v>145.30000000000001</v>
      </c>
      <c r="AD204" s="1">
        <v>128.30000000000001</v>
      </c>
      <c r="AE204" s="1">
        <v>131</v>
      </c>
      <c r="AF204" s="1">
        <v>138</v>
      </c>
    </row>
    <row r="205" spans="1:32" x14ac:dyDescent="0.3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f t="shared" si="5"/>
        <v>1798.7000000000003</v>
      </c>
      <c r="R205" s="1">
        <v>157.9</v>
      </c>
      <c r="S205" s="1">
        <v>147.30000000000001</v>
      </c>
      <c r="T205" s="1">
        <v>138.80000000000001</v>
      </c>
      <c r="U205" s="1">
        <v>146.1</v>
      </c>
      <c r="V205" s="1">
        <v>144.6</v>
      </c>
      <c r="W205" s="1">
        <v>140.9</v>
      </c>
      <c r="X205" s="1">
        <v>139.4</v>
      </c>
      <c r="Y205" s="1">
        <v>137.69999999999999</v>
      </c>
      <c r="Z205" s="1">
        <v>124.3</v>
      </c>
      <c r="AA205" s="1"/>
      <c r="AB205" s="1">
        <v>133.6</v>
      </c>
      <c r="AC205" s="1">
        <v>146</v>
      </c>
      <c r="AD205" s="1">
        <v>130.1</v>
      </c>
      <c r="AE205" s="1">
        <v>133.9</v>
      </c>
      <c r="AF205" s="1">
        <v>140.4</v>
      </c>
    </row>
    <row r="206" spans="1:32" x14ac:dyDescent="0.3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f t="shared" si="5"/>
        <v>1799.8000000000002</v>
      </c>
      <c r="R206" s="1">
        <v>157.69999999999999</v>
      </c>
      <c r="S206" s="1">
        <v>152.1</v>
      </c>
      <c r="T206" s="1">
        <v>146.1</v>
      </c>
      <c r="U206" s="1">
        <v>151.30000000000001</v>
      </c>
      <c r="V206" s="1" t="s">
        <v>32</v>
      </c>
      <c r="W206" s="1">
        <v>149</v>
      </c>
      <c r="X206" s="1">
        <v>144</v>
      </c>
      <c r="Y206" s="1">
        <v>140</v>
      </c>
      <c r="Z206" s="1">
        <v>129.9</v>
      </c>
      <c r="AA206" s="1"/>
      <c r="AB206" s="1">
        <v>140</v>
      </c>
      <c r="AC206" s="1">
        <v>147.6</v>
      </c>
      <c r="AD206" s="1">
        <v>132</v>
      </c>
      <c r="AE206" s="1">
        <v>137.4</v>
      </c>
      <c r="AF206" s="1">
        <v>142.1</v>
      </c>
    </row>
    <row r="207" spans="1:32" x14ac:dyDescent="0.3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f t="shared" si="5"/>
        <v>1748.4</v>
      </c>
      <c r="R207" s="1">
        <v>163.30000000000001</v>
      </c>
      <c r="S207" s="1">
        <v>140.80000000000001</v>
      </c>
      <c r="T207" s="1">
        <v>129.30000000000001</v>
      </c>
      <c r="U207" s="1">
        <v>139.1</v>
      </c>
      <c r="V207" s="1">
        <v>145.30000000000001</v>
      </c>
      <c r="W207" s="1">
        <v>131.19999999999999</v>
      </c>
      <c r="X207" s="1">
        <v>134.9</v>
      </c>
      <c r="Y207" s="1">
        <v>135.69999999999999</v>
      </c>
      <c r="Z207" s="1">
        <v>122.5</v>
      </c>
      <c r="AA207" s="1"/>
      <c r="AB207" s="1">
        <v>130.19999999999999</v>
      </c>
      <c r="AC207" s="1">
        <v>145.19999999999999</v>
      </c>
      <c r="AD207" s="1">
        <v>129.30000000000001</v>
      </c>
      <c r="AE207" s="1">
        <v>131.9</v>
      </c>
      <c r="AF207" s="1">
        <v>138.1</v>
      </c>
    </row>
    <row r="208" spans="1:32" x14ac:dyDescent="0.3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f t="shared" si="5"/>
        <v>1779.5</v>
      </c>
      <c r="R208" s="1">
        <v>159.19999999999999</v>
      </c>
      <c r="S208" s="1">
        <v>147.69999999999999</v>
      </c>
      <c r="T208" s="1">
        <v>139.1</v>
      </c>
      <c r="U208" s="1">
        <v>146.5</v>
      </c>
      <c r="V208" s="1">
        <v>145.30000000000001</v>
      </c>
      <c r="W208" s="1">
        <v>142.30000000000001</v>
      </c>
      <c r="X208" s="1">
        <v>139.69999999999999</v>
      </c>
      <c r="Y208" s="1">
        <v>138.4</v>
      </c>
      <c r="Z208" s="1">
        <v>126</v>
      </c>
      <c r="AA208" s="1"/>
      <c r="AB208" s="1">
        <v>134.5</v>
      </c>
      <c r="AC208" s="1">
        <v>146.19999999999999</v>
      </c>
      <c r="AD208" s="1">
        <v>130.9</v>
      </c>
      <c r="AE208" s="1">
        <v>134.69999999999999</v>
      </c>
      <c r="AF208" s="1">
        <v>140.19999999999999</v>
      </c>
    </row>
    <row r="209" spans="1:32" x14ac:dyDescent="0.3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f t="shared" si="5"/>
        <v>1782.2</v>
      </c>
      <c r="R209" s="1">
        <v>159.6</v>
      </c>
      <c r="S209" s="1">
        <v>150.69999999999999</v>
      </c>
      <c r="T209" s="1">
        <v>144.5</v>
      </c>
      <c r="U209" s="1">
        <v>149.80000000000001</v>
      </c>
      <c r="V209" s="1" t="s">
        <v>32</v>
      </c>
      <c r="W209" s="1">
        <v>149.69999999999999</v>
      </c>
      <c r="X209" s="1">
        <v>147.5</v>
      </c>
      <c r="Y209" s="1">
        <v>144.80000000000001</v>
      </c>
      <c r="Z209" s="1">
        <v>130.80000000000001</v>
      </c>
      <c r="AA209" s="1"/>
      <c r="AB209" s="1">
        <v>140.1</v>
      </c>
      <c r="AC209" s="1">
        <v>148</v>
      </c>
      <c r="AD209" s="1">
        <v>134.4</v>
      </c>
      <c r="AE209" s="1">
        <v>139.80000000000001</v>
      </c>
      <c r="AF209" s="1">
        <v>142.19999999999999</v>
      </c>
    </row>
    <row r="210" spans="1:32" x14ac:dyDescent="0.3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f t="shared" si="5"/>
        <v>1754.1</v>
      </c>
      <c r="R210" s="1">
        <v>164</v>
      </c>
      <c r="S210" s="1">
        <v>141.5</v>
      </c>
      <c r="T210" s="1">
        <v>129.80000000000001</v>
      </c>
      <c r="U210" s="1">
        <v>139.69999999999999</v>
      </c>
      <c r="V210" s="1">
        <v>146.30000000000001</v>
      </c>
      <c r="W210" s="1">
        <v>133.4</v>
      </c>
      <c r="X210" s="1">
        <v>135.1</v>
      </c>
      <c r="Y210" s="1">
        <v>136.19999999999999</v>
      </c>
      <c r="Z210" s="1">
        <v>123.3</v>
      </c>
      <c r="AA210" s="1"/>
      <c r="AB210" s="1">
        <v>130.69999999999999</v>
      </c>
      <c r="AC210" s="1">
        <v>145.5</v>
      </c>
      <c r="AD210" s="1">
        <v>130.4</v>
      </c>
      <c r="AE210" s="1">
        <v>132.5</v>
      </c>
      <c r="AF210" s="1">
        <v>138.9</v>
      </c>
    </row>
    <row r="211" spans="1:32" x14ac:dyDescent="0.3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f t="shared" si="5"/>
        <v>1776.2</v>
      </c>
      <c r="R211" s="1">
        <v>162.6</v>
      </c>
      <c r="S211" s="1">
        <v>148</v>
      </c>
      <c r="T211" s="1">
        <v>139.19999999999999</v>
      </c>
      <c r="U211" s="1">
        <v>146.80000000000001</v>
      </c>
      <c r="V211" s="1">
        <v>146.9</v>
      </c>
      <c r="W211" s="1">
        <v>145.30000000000001</v>
      </c>
      <c r="X211" s="1">
        <v>142.19999999999999</v>
      </c>
      <c r="Y211" s="1">
        <v>142.1</v>
      </c>
      <c r="Z211" s="1">
        <v>125.5</v>
      </c>
      <c r="AA211" s="1"/>
      <c r="AB211" s="1">
        <v>136.5</v>
      </c>
      <c r="AC211" s="1">
        <v>147.80000000000001</v>
      </c>
      <c r="AD211" s="1">
        <v>132</v>
      </c>
      <c r="AE211" s="1">
        <v>136.30000000000001</v>
      </c>
      <c r="AF211" s="1">
        <v>140.80000000000001</v>
      </c>
    </row>
    <row r="212" spans="1:32" x14ac:dyDescent="0.3">
      <c r="A212" s="1" t="s">
        <v>30</v>
      </c>
      <c r="B212" s="1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f t="shared" si="5"/>
        <v>1787.4999999999995</v>
      </c>
      <c r="R212" s="1">
        <v>161.9</v>
      </c>
      <c r="S212" s="1">
        <v>151.69999999999999</v>
      </c>
      <c r="T212" s="1">
        <v>145.5</v>
      </c>
      <c r="U212" s="1">
        <v>150.80000000000001</v>
      </c>
      <c r="V212" s="1" t="s">
        <v>32</v>
      </c>
      <c r="W212" s="1">
        <v>150.30000000000001</v>
      </c>
      <c r="X212" s="1">
        <v>148</v>
      </c>
      <c r="Y212" s="1">
        <v>145.4</v>
      </c>
      <c r="Z212" s="1">
        <v>130.30000000000001</v>
      </c>
      <c r="AA212" s="1"/>
      <c r="AB212" s="1">
        <v>143.1</v>
      </c>
      <c r="AC212" s="1">
        <v>150.19999999999999</v>
      </c>
      <c r="AD212" s="1">
        <v>133.1</v>
      </c>
      <c r="AE212" s="1">
        <v>140.1</v>
      </c>
      <c r="AF212" s="1">
        <v>142.4</v>
      </c>
    </row>
    <row r="213" spans="1:32" x14ac:dyDescent="0.3">
      <c r="A213" s="1" t="s">
        <v>33</v>
      </c>
      <c r="B213" s="1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f t="shared" si="5"/>
        <v>1757.4999999999998</v>
      </c>
      <c r="R213" s="1">
        <v>164.4</v>
      </c>
      <c r="S213" s="1">
        <v>142.4</v>
      </c>
      <c r="T213" s="1">
        <v>130.19999999999999</v>
      </c>
      <c r="U213" s="1">
        <v>140.5</v>
      </c>
      <c r="V213" s="1">
        <v>146.9</v>
      </c>
      <c r="W213" s="1">
        <v>136.69999999999999</v>
      </c>
      <c r="X213" s="1">
        <v>135.80000000000001</v>
      </c>
      <c r="Y213" s="1">
        <v>136.80000000000001</v>
      </c>
      <c r="Z213" s="1">
        <v>121.2</v>
      </c>
      <c r="AA213" s="1"/>
      <c r="AB213" s="1">
        <v>131.30000000000001</v>
      </c>
      <c r="AC213" s="1">
        <v>146.1</v>
      </c>
      <c r="AD213" s="1">
        <v>130.5</v>
      </c>
      <c r="AE213" s="1">
        <v>132.19999999999999</v>
      </c>
      <c r="AF213" s="1">
        <v>139</v>
      </c>
    </row>
    <row r="214" spans="1:32" x14ac:dyDescent="0.3">
      <c r="A214" s="1" t="s">
        <v>34</v>
      </c>
      <c r="B214" s="1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f t="shared" si="5"/>
        <v>1775.7000000000003</v>
      </c>
      <c r="R214" s="1">
        <v>162.6</v>
      </c>
      <c r="S214" s="1">
        <v>148</v>
      </c>
      <c r="T214" s="1">
        <v>139.1</v>
      </c>
      <c r="U214" s="1">
        <v>146.69999999999999</v>
      </c>
      <c r="V214" s="1">
        <v>146.9</v>
      </c>
      <c r="W214" s="1">
        <v>145.1</v>
      </c>
      <c r="X214" s="1">
        <v>142.19999999999999</v>
      </c>
      <c r="Y214" s="1">
        <v>142.1</v>
      </c>
      <c r="Z214" s="1">
        <v>125.5</v>
      </c>
      <c r="AA214" s="1"/>
      <c r="AB214" s="1">
        <v>136.5</v>
      </c>
      <c r="AC214" s="1">
        <v>147.80000000000001</v>
      </c>
      <c r="AD214" s="1">
        <v>132</v>
      </c>
      <c r="AE214" s="1">
        <v>136.30000000000001</v>
      </c>
      <c r="AF214" s="1">
        <v>140.80000000000001</v>
      </c>
    </row>
    <row r="215" spans="1:32" x14ac:dyDescent="0.3">
      <c r="A215" s="1" t="s">
        <v>30</v>
      </c>
      <c r="B215" s="1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f t="shared" si="5"/>
        <v>1773.1000000000001</v>
      </c>
      <c r="R215" s="1">
        <v>162.4</v>
      </c>
      <c r="S215" s="1">
        <v>151.6</v>
      </c>
      <c r="T215" s="1">
        <v>145.9</v>
      </c>
      <c r="U215" s="1">
        <v>150.80000000000001</v>
      </c>
      <c r="V215" s="1" t="s">
        <v>32</v>
      </c>
      <c r="W215" s="1">
        <v>149</v>
      </c>
      <c r="X215" s="1">
        <v>149.5</v>
      </c>
      <c r="Y215" s="1">
        <v>149.6</v>
      </c>
      <c r="Z215" s="1">
        <v>128.9</v>
      </c>
      <c r="AA215" s="1"/>
      <c r="AB215" s="1">
        <v>143.30000000000001</v>
      </c>
      <c r="AC215" s="1">
        <v>155.1</v>
      </c>
      <c r="AD215" s="1">
        <v>133.19999999999999</v>
      </c>
      <c r="AE215" s="1">
        <v>141.6</v>
      </c>
      <c r="AF215" s="1">
        <v>141.9</v>
      </c>
    </row>
    <row r="216" spans="1:32" x14ac:dyDescent="0.3">
      <c r="A216" s="1" t="s">
        <v>33</v>
      </c>
      <c r="B216" s="1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f t="shared" si="5"/>
        <v>1746.6</v>
      </c>
      <c r="R216" s="1">
        <v>164.6</v>
      </c>
      <c r="S216" s="1">
        <v>142.69999999999999</v>
      </c>
      <c r="T216" s="1">
        <v>130.30000000000001</v>
      </c>
      <c r="U216" s="1">
        <v>140.80000000000001</v>
      </c>
      <c r="V216" s="1">
        <v>146.5</v>
      </c>
      <c r="W216" s="1">
        <v>132.4</v>
      </c>
      <c r="X216" s="1">
        <v>136.19999999999999</v>
      </c>
      <c r="Y216" s="1">
        <v>137.30000000000001</v>
      </c>
      <c r="Z216" s="1">
        <v>118.8</v>
      </c>
      <c r="AA216" s="1"/>
      <c r="AB216" s="1">
        <v>131.69999999999999</v>
      </c>
      <c r="AC216" s="1">
        <v>146.5</v>
      </c>
      <c r="AD216" s="1">
        <v>130.80000000000001</v>
      </c>
      <c r="AE216" s="1">
        <v>131.69999999999999</v>
      </c>
      <c r="AF216" s="1">
        <v>138</v>
      </c>
    </row>
    <row r="217" spans="1:32" x14ac:dyDescent="0.3">
      <c r="A217" s="1" t="s">
        <v>34</v>
      </c>
      <c r="B217" s="1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f t="shared" si="5"/>
        <v>1762.7999999999997</v>
      </c>
      <c r="R217" s="1">
        <v>163</v>
      </c>
      <c r="S217" s="1">
        <v>148.1</v>
      </c>
      <c r="T217" s="1">
        <v>139.4</v>
      </c>
      <c r="U217" s="1">
        <v>146.80000000000001</v>
      </c>
      <c r="V217" s="1">
        <v>146.5</v>
      </c>
      <c r="W217" s="1">
        <v>142.69999999999999</v>
      </c>
      <c r="X217" s="1">
        <v>143.19999999999999</v>
      </c>
      <c r="Y217" s="1">
        <v>144.9</v>
      </c>
      <c r="Z217" s="1">
        <v>123.6</v>
      </c>
      <c r="AA217" s="1"/>
      <c r="AB217" s="1">
        <v>136.80000000000001</v>
      </c>
      <c r="AC217" s="1">
        <v>150.1</v>
      </c>
      <c r="AD217" s="1">
        <v>132.19999999999999</v>
      </c>
      <c r="AE217" s="1">
        <v>136.80000000000001</v>
      </c>
      <c r="AF217" s="1">
        <v>140.1</v>
      </c>
    </row>
    <row r="218" spans="1:32" x14ac:dyDescent="0.3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f t="shared" si="5"/>
        <v>1759.6000000000001</v>
      </c>
      <c r="R218" s="1">
        <v>162.69999999999999</v>
      </c>
      <c r="S218" s="1">
        <v>150.6</v>
      </c>
      <c r="T218" s="1">
        <v>145.1</v>
      </c>
      <c r="U218" s="1">
        <v>149.9</v>
      </c>
      <c r="V218" s="1" t="s">
        <v>32</v>
      </c>
      <c r="W218" s="1">
        <v>146.19999999999999</v>
      </c>
      <c r="X218" s="1">
        <v>150.1</v>
      </c>
      <c r="Y218" s="1">
        <v>149.6</v>
      </c>
      <c r="Z218" s="1">
        <v>128.6</v>
      </c>
      <c r="AA218" s="1"/>
      <c r="AB218" s="1">
        <v>142.9</v>
      </c>
      <c r="AC218" s="1">
        <v>155.19999999999999</v>
      </c>
      <c r="AD218" s="1">
        <v>133.5</v>
      </c>
      <c r="AE218" s="1">
        <v>141.69999999999999</v>
      </c>
      <c r="AF218" s="1">
        <v>141</v>
      </c>
    </row>
    <row r="219" spans="1:32" x14ac:dyDescent="0.3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f t="shared" si="5"/>
        <v>1744.3000000000002</v>
      </c>
      <c r="R219" s="1">
        <v>164.7</v>
      </c>
      <c r="S219" s="1">
        <v>143</v>
      </c>
      <c r="T219" s="1">
        <v>130.4</v>
      </c>
      <c r="U219" s="1">
        <v>141.1</v>
      </c>
      <c r="V219" s="1">
        <v>147.69999999999999</v>
      </c>
      <c r="W219" s="1">
        <v>128.6</v>
      </c>
      <c r="X219" s="1">
        <v>136.30000000000001</v>
      </c>
      <c r="Y219" s="1">
        <v>137.80000000000001</v>
      </c>
      <c r="Z219" s="1">
        <v>118.6</v>
      </c>
      <c r="AA219" s="1"/>
      <c r="AB219" s="1">
        <v>131.9</v>
      </c>
      <c r="AC219" s="1">
        <v>146.6</v>
      </c>
      <c r="AD219" s="1">
        <v>131.69999999999999</v>
      </c>
      <c r="AE219" s="1">
        <v>131.80000000000001</v>
      </c>
      <c r="AF219" s="1">
        <v>138</v>
      </c>
    </row>
    <row r="220" spans="1:32" x14ac:dyDescent="0.3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f t="shared" si="5"/>
        <v>1753.3999999999999</v>
      </c>
      <c r="R220" s="1">
        <v>163.19999999999999</v>
      </c>
      <c r="S220" s="1">
        <v>147.6</v>
      </c>
      <c r="T220" s="1">
        <v>139</v>
      </c>
      <c r="U220" s="1">
        <v>146.4</v>
      </c>
      <c r="V220" s="1">
        <v>147.69999999999999</v>
      </c>
      <c r="W220" s="1">
        <v>139.5</v>
      </c>
      <c r="X220" s="1">
        <v>143.6</v>
      </c>
      <c r="Y220" s="1">
        <v>145.1</v>
      </c>
      <c r="Z220" s="1">
        <v>123.3</v>
      </c>
      <c r="AA220" s="1"/>
      <c r="AB220" s="1">
        <v>136.69999999999999</v>
      </c>
      <c r="AC220" s="1">
        <v>150.19999999999999</v>
      </c>
      <c r="AD220" s="1">
        <v>132.80000000000001</v>
      </c>
      <c r="AE220" s="1">
        <v>136.9</v>
      </c>
      <c r="AF220" s="1">
        <v>139.6</v>
      </c>
    </row>
    <row r="221" spans="1:32" x14ac:dyDescent="0.3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f t="shared" si="5"/>
        <v>1759.8000000000002</v>
      </c>
      <c r="R221" s="1">
        <v>162.80000000000001</v>
      </c>
      <c r="S221" s="1">
        <v>150.5</v>
      </c>
      <c r="T221" s="1">
        <v>146.1</v>
      </c>
      <c r="U221" s="1">
        <v>149.9</v>
      </c>
      <c r="V221" s="1" t="s">
        <v>32</v>
      </c>
      <c r="W221" s="1">
        <v>145.30000000000001</v>
      </c>
      <c r="X221" s="1">
        <v>150.1</v>
      </c>
      <c r="Y221" s="1">
        <v>149.9</v>
      </c>
      <c r="Z221" s="1">
        <v>129.19999999999999</v>
      </c>
      <c r="AA221" s="1"/>
      <c r="AB221" s="1">
        <v>143.4</v>
      </c>
      <c r="AC221" s="1">
        <v>155.5</v>
      </c>
      <c r="AD221" s="1">
        <v>134.9</v>
      </c>
      <c r="AE221" s="1">
        <v>142.19999999999999</v>
      </c>
      <c r="AF221" s="1">
        <v>141</v>
      </c>
    </row>
    <row r="222" spans="1:32" x14ac:dyDescent="0.3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f t="shared" si="5"/>
        <v>1754.4</v>
      </c>
      <c r="R222" s="1">
        <v>164.9</v>
      </c>
      <c r="S222" s="1">
        <v>143.30000000000001</v>
      </c>
      <c r="T222" s="1">
        <v>130.80000000000001</v>
      </c>
      <c r="U222" s="1">
        <v>141.4</v>
      </c>
      <c r="V222" s="1">
        <v>148.5</v>
      </c>
      <c r="W222" s="1">
        <v>127.1</v>
      </c>
      <c r="X222" s="1">
        <v>136.6</v>
      </c>
      <c r="Y222" s="1">
        <v>138.5</v>
      </c>
      <c r="Z222" s="1">
        <v>119.2</v>
      </c>
      <c r="AA222" s="1"/>
      <c r="AB222" s="1">
        <v>132.19999999999999</v>
      </c>
      <c r="AC222" s="1">
        <v>146.6</v>
      </c>
      <c r="AD222" s="1">
        <v>133</v>
      </c>
      <c r="AE222" s="1">
        <v>132.4</v>
      </c>
      <c r="AF222" s="1">
        <v>138.6</v>
      </c>
    </row>
    <row r="223" spans="1:32" x14ac:dyDescent="0.3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f t="shared" si="5"/>
        <v>1757.1</v>
      </c>
      <c r="R223" s="1">
        <v>163.4</v>
      </c>
      <c r="S223" s="1">
        <v>147.69999999999999</v>
      </c>
      <c r="T223" s="1">
        <v>139.69999999999999</v>
      </c>
      <c r="U223" s="1">
        <v>146.5</v>
      </c>
      <c r="V223" s="1">
        <v>148.5</v>
      </c>
      <c r="W223" s="1">
        <v>138.4</v>
      </c>
      <c r="X223" s="1">
        <v>143.69999999999999</v>
      </c>
      <c r="Y223" s="1">
        <v>145.6</v>
      </c>
      <c r="Z223" s="1">
        <v>123.9</v>
      </c>
      <c r="AA223" s="1"/>
      <c r="AB223" s="1">
        <v>137.1</v>
      </c>
      <c r="AC223" s="1">
        <v>150.30000000000001</v>
      </c>
      <c r="AD223" s="1">
        <v>134.1</v>
      </c>
      <c r="AE223" s="1">
        <v>137.4</v>
      </c>
      <c r="AF223" s="1">
        <v>139.9</v>
      </c>
    </row>
    <row r="224" spans="1:32" x14ac:dyDescent="0.3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f t="shared" si="5"/>
        <v>1761.2000000000003</v>
      </c>
      <c r="R224" s="1">
        <v>162.9</v>
      </c>
      <c r="S224" s="1">
        <v>150.80000000000001</v>
      </c>
      <c r="T224" s="1">
        <v>146.1</v>
      </c>
      <c r="U224" s="1">
        <v>150.1</v>
      </c>
      <c r="V224" s="1" t="s">
        <v>32</v>
      </c>
      <c r="W224" s="1">
        <v>146.4</v>
      </c>
      <c r="X224" s="1">
        <v>150</v>
      </c>
      <c r="Y224" s="1">
        <v>150.4</v>
      </c>
      <c r="Z224" s="1">
        <v>129.9</v>
      </c>
      <c r="AA224" s="1">
        <f t="shared" ref="AA224:AA226" si="6">X224+Z224</f>
        <v>279.89999999999998</v>
      </c>
      <c r="AB224" s="1">
        <v>143.80000000000001</v>
      </c>
      <c r="AC224" s="1">
        <v>155.5</v>
      </c>
      <c r="AD224" s="1">
        <v>134</v>
      </c>
      <c r="AE224" s="1">
        <v>142.4</v>
      </c>
      <c r="AF224" s="1">
        <v>141.19999999999999</v>
      </c>
    </row>
    <row r="225" spans="1:32" x14ac:dyDescent="0.3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f t="shared" si="5"/>
        <v>1768.4</v>
      </c>
      <c r="R225" s="1">
        <v>165.3</v>
      </c>
      <c r="S225" s="1">
        <v>143.5</v>
      </c>
      <c r="T225" s="1">
        <v>131.19999999999999</v>
      </c>
      <c r="U225" s="1">
        <v>141.6</v>
      </c>
      <c r="V225" s="1">
        <v>149</v>
      </c>
      <c r="W225" s="1">
        <v>128.80000000000001</v>
      </c>
      <c r="X225" s="1">
        <v>136.80000000000001</v>
      </c>
      <c r="Y225" s="1">
        <v>139.19999999999999</v>
      </c>
      <c r="Z225" s="1">
        <v>119.9</v>
      </c>
      <c r="AA225" s="1">
        <f t="shared" si="6"/>
        <v>256.70000000000005</v>
      </c>
      <c r="AB225" s="1">
        <v>133</v>
      </c>
      <c r="AC225" s="1">
        <v>146.69999999999999</v>
      </c>
      <c r="AD225" s="1">
        <v>132.5</v>
      </c>
      <c r="AE225" s="1">
        <v>132.80000000000001</v>
      </c>
      <c r="AF225" s="1">
        <v>139.5</v>
      </c>
    </row>
    <row r="226" spans="1:32" x14ac:dyDescent="0.3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f t="shared" si="5"/>
        <v>1762.9</v>
      </c>
      <c r="R226" s="1">
        <v>163.5</v>
      </c>
      <c r="S226" s="1">
        <v>147.9</v>
      </c>
      <c r="T226" s="1">
        <v>139.9</v>
      </c>
      <c r="U226" s="1">
        <v>146.69999999999999</v>
      </c>
      <c r="V226" s="1">
        <v>149</v>
      </c>
      <c r="W226" s="1">
        <v>139.69999999999999</v>
      </c>
      <c r="X226" s="1">
        <v>143.80000000000001</v>
      </c>
      <c r="Y226" s="1">
        <v>146.19999999999999</v>
      </c>
      <c r="Z226" s="1">
        <v>124.6</v>
      </c>
      <c r="AA226" s="1">
        <f t="shared" si="6"/>
        <v>268.39999999999998</v>
      </c>
      <c r="AB226" s="1">
        <v>137.69999999999999</v>
      </c>
      <c r="AC226" s="1">
        <v>150.30000000000001</v>
      </c>
      <c r="AD226" s="1">
        <v>133.4</v>
      </c>
      <c r="AE226" s="1">
        <v>137.69999999999999</v>
      </c>
      <c r="AF226" s="1">
        <v>140.4</v>
      </c>
    </row>
    <row r="227" spans="1:32" x14ac:dyDescent="0.3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f t="shared" si="5"/>
        <v>1782.1000000000001</v>
      </c>
      <c r="R227" s="1">
        <v>163.30000000000001</v>
      </c>
      <c r="S227" s="1">
        <v>151.30000000000001</v>
      </c>
      <c r="T227" s="1">
        <v>146.6</v>
      </c>
      <c r="U227" s="1">
        <v>150.69999999999999</v>
      </c>
      <c r="V227" s="1" t="s">
        <v>32</v>
      </c>
      <c r="W227" s="1">
        <v>146.9</v>
      </c>
      <c r="X227" s="1">
        <v>149.5</v>
      </c>
      <c r="Y227" s="1">
        <v>151.30000000000001</v>
      </c>
      <c r="Z227" s="1">
        <v>130.19999999999999</v>
      </c>
      <c r="AA227" s="1"/>
      <c r="AB227" s="1">
        <v>145.9</v>
      </c>
      <c r="AC227" s="1">
        <v>156.69999999999999</v>
      </c>
      <c r="AD227" s="1">
        <v>133.9</v>
      </c>
      <c r="AE227" s="1">
        <v>142.9</v>
      </c>
      <c r="AF227" s="1">
        <v>142.4</v>
      </c>
    </row>
    <row r="228" spans="1:32" x14ac:dyDescent="0.3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f t="shared" si="5"/>
        <v>1811.5000000000002</v>
      </c>
      <c r="R228" s="1">
        <v>166.2</v>
      </c>
      <c r="S228" s="1">
        <v>144</v>
      </c>
      <c r="T228" s="1">
        <v>131.69999999999999</v>
      </c>
      <c r="U228" s="1">
        <v>142.19999999999999</v>
      </c>
      <c r="V228" s="1">
        <v>150.1</v>
      </c>
      <c r="W228" s="1">
        <v>129.4</v>
      </c>
      <c r="X228" s="1">
        <v>137.19999999999999</v>
      </c>
      <c r="Y228" s="1">
        <v>139.80000000000001</v>
      </c>
      <c r="Z228" s="1">
        <v>120.1</v>
      </c>
      <c r="AA228" s="1"/>
      <c r="AB228" s="1">
        <v>134</v>
      </c>
      <c r="AC228" s="1">
        <v>148</v>
      </c>
      <c r="AD228" s="1">
        <v>132.6</v>
      </c>
      <c r="AE228" s="1">
        <v>133.30000000000001</v>
      </c>
      <c r="AF228" s="1">
        <v>141.5</v>
      </c>
    </row>
    <row r="229" spans="1:32" x14ac:dyDescent="0.3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f t="shared" si="5"/>
        <v>1791.9000000000003</v>
      </c>
      <c r="R229" s="1">
        <v>164.1</v>
      </c>
      <c r="S229" s="1">
        <v>148.4</v>
      </c>
      <c r="T229" s="1">
        <v>140.4</v>
      </c>
      <c r="U229" s="1">
        <v>147.30000000000001</v>
      </c>
      <c r="V229" s="1">
        <v>150.1</v>
      </c>
      <c r="W229" s="1">
        <v>140.30000000000001</v>
      </c>
      <c r="X229" s="1">
        <v>143.69999999999999</v>
      </c>
      <c r="Y229" s="1">
        <v>146.9</v>
      </c>
      <c r="Z229" s="1">
        <v>124.9</v>
      </c>
      <c r="AA229" s="1"/>
      <c r="AB229" s="1">
        <v>139.19999999999999</v>
      </c>
      <c r="AC229" s="1">
        <v>151.6</v>
      </c>
      <c r="AD229" s="1">
        <v>133.4</v>
      </c>
      <c r="AE229" s="1">
        <v>138.19999999999999</v>
      </c>
      <c r="AF229" s="1">
        <v>142</v>
      </c>
    </row>
    <row r="230" spans="1:32" x14ac:dyDescent="0.3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f t="shared" si="5"/>
        <v>1804.1999999999998</v>
      </c>
      <c r="R230" s="1">
        <v>164.2</v>
      </c>
      <c r="S230" s="1">
        <v>151.4</v>
      </c>
      <c r="T230" s="1">
        <v>146.5</v>
      </c>
      <c r="U230" s="1">
        <v>150.69999999999999</v>
      </c>
      <c r="V230" s="1" t="s">
        <v>32</v>
      </c>
      <c r="W230" s="1">
        <v>147.80000000000001</v>
      </c>
      <c r="X230" s="1">
        <v>149.6</v>
      </c>
      <c r="Y230" s="1">
        <v>151.69999999999999</v>
      </c>
      <c r="Z230" s="1">
        <v>130.19999999999999</v>
      </c>
      <c r="AA230" s="1"/>
      <c r="AB230" s="1">
        <v>146.4</v>
      </c>
      <c r="AC230" s="1">
        <v>157.69999999999999</v>
      </c>
      <c r="AD230" s="1">
        <v>134.80000000000001</v>
      </c>
      <c r="AE230" s="1">
        <v>143.30000000000001</v>
      </c>
      <c r="AF230" s="1">
        <v>143.6</v>
      </c>
    </row>
    <row r="231" spans="1:32" x14ac:dyDescent="0.3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f t="shared" si="5"/>
        <v>1833.2999999999997</v>
      </c>
      <c r="R231" s="1">
        <v>166.7</v>
      </c>
      <c r="S231" s="1">
        <v>144.30000000000001</v>
      </c>
      <c r="T231" s="1">
        <v>131.69999999999999</v>
      </c>
      <c r="U231" s="1">
        <v>142.4</v>
      </c>
      <c r="V231" s="1">
        <v>149.4</v>
      </c>
      <c r="W231" s="1">
        <v>130.5</v>
      </c>
      <c r="X231" s="1">
        <v>137.4</v>
      </c>
      <c r="Y231" s="1">
        <v>140.30000000000001</v>
      </c>
      <c r="Z231" s="1">
        <v>119.6</v>
      </c>
      <c r="AA231" s="1"/>
      <c r="AB231" s="1">
        <v>134.30000000000001</v>
      </c>
      <c r="AC231" s="1">
        <v>148.9</v>
      </c>
      <c r="AD231" s="1">
        <v>133.69999999999999</v>
      </c>
      <c r="AE231" s="1">
        <v>133.6</v>
      </c>
      <c r="AF231" s="1">
        <v>142.1</v>
      </c>
    </row>
    <row r="232" spans="1:32" x14ac:dyDescent="0.3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f t="shared" si="5"/>
        <v>1814.1000000000001</v>
      </c>
      <c r="R232" s="1">
        <v>164.9</v>
      </c>
      <c r="S232" s="1">
        <v>148.6</v>
      </c>
      <c r="T232" s="1">
        <v>140.4</v>
      </c>
      <c r="U232" s="1">
        <v>147.4</v>
      </c>
      <c r="V232" s="1">
        <v>149.4</v>
      </c>
      <c r="W232" s="1">
        <v>141.19999999999999</v>
      </c>
      <c r="X232" s="1">
        <v>143.80000000000001</v>
      </c>
      <c r="Y232" s="1">
        <v>147.4</v>
      </c>
      <c r="Z232" s="1">
        <v>124.6</v>
      </c>
      <c r="AA232" s="1"/>
      <c r="AB232" s="1">
        <v>139.6</v>
      </c>
      <c r="AC232" s="1">
        <v>152.5</v>
      </c>
      <c r="AD232" s="1">
        <v>134.30000000000001</v>
      </c>
      <c r="AE232" s="1">
        <v>138.6</v>
      </c>
      <c r="AF232" s="1">
        <v>142.9</v>
      </c>
    </row>
    <row r="233" spans="1:32" x14ac:dyDescent="0.3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f t="shared" si="5"/>
        <v>1826.8999999999999</v>
      </c>
      <c r="R233" s="1">
        <v>164.5</v>
      </c>
      <c r="S233" s="1">
        <v>151.6</v>
      </c>
      <c r="T233" s="1">
        <v>146.6</v>
      </c>
      <c r="U233" s="1">
        <v>150.9</v>
      </c>
      <c r="V233" s="1" t="s">
        <v>32</v>
      </c>
      <c r="W233" s="1">
        <v>146.80000000000001</v>
      </c>
      <c r="X233" s="1">
        <v>150</v>
      </c>
      <c r="Y233" s="1">
        <v>152.19999999999999</v>
      </c>
      <c r="Z233" s="1">
        <v>131.19999999999999</v>
      </c>
      <c r="AA233" s="1"/>
      <c r="AB233" s="1">
        <v>147.5</v>
      </c>
      <c r="AC233" s="1">
        <v>159.1</v>
      </c>
      <c r="AD233" s="1">
        <v>136.1</v>
      </c>
      <c r="AE233" s="1">
        <v>144.19999999999999</v>
      </c>
      <c r="AF233" s="1">
        <v>144.9</v>
      </c>
    </row>
    <row r="234" spans="1:32" x14ac:dyDescent="0.3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f t="shared" si="5"/>
        <v>1857.3999999999999</v>
      </c>
      <c r="R234" s="1">
        <v>167.2</v>
      </c>
      <c r="S234" s="1">
        <v>144.69999999999999</v>
      </c>
      <c r="T234" s="1">
        <v>131.9</v>
      </c>
      <c r="U234" s="1">
        <v>142.69999999999999</v>
      </c>
      <c r="V234" s="1">
        <v>150.6</v>
      </c>
      <c r="W234" s="1">
        <v>127</v>
      </c>
      <c r="X234" s="1">
        <v>137.69999999999999</v>
      </c>
      <c r="Y234" s="1">
        <v>140.80000000000001</v>
      </c>
      <c r="Z234" s="1">
        <v>120.6</v>
      </c>
      <c r="AA234" s="1"/>
      <c r="AB234" s="1">
        <v>135</v>
      </c>
      <c r="AC234" s="1">
        <v>150.4</v>
      </c>
      <c r="AD234" s="1">
        <v>135.1</v>
      </c>
      <c r="AE234" s="1">
        <v>134.5</v>
      </c>
      <c r="AF234" s="1">
        <v>143.30000000000001</v>
      </c>
    </row>
    <row r="235" spans="1:32" x14ac:dyDescent="0.3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f t="shared" si="5"/>
        <v>1837.5</v>
      </c>
      <c r="R235" s="1">
        <v>165.2</v>
      </c>
      <c r="S235" s="1">
        <v>148.9</v>
      </c>
      <c r="T235" s="1">
        <v>140.5</v>
      </c>
      <c r="U235" s="1">
        <v>147.6</v>
      </c>
      <c r="V235" s="1">
        <v>150.6</v>
      </c>
      <c r="W235" s="1">
        <v>139.30000000000001</v>
      </c>
      <c r="X235" s="1">
        <v>144.19999999999999</v>
      </c>
      <c r="Y235" s="1">
        <v>147.9</v>
      </c>
      <c r="Z235" s="1">
        <v>125.6</v>
      </c>
      <c r="AA235" s="1"/>
      <c r="AB235" s="1">
        <v>140.5</v>
      </c>
      <c r="AC235" s="1">
        <v>154</v>
      </c>
      <c r="AD235" s="1">
        <v>135.69999999999999</v>
      </c>
      <c r="AE235" s="1">
        <v>139.5</v>
      </c>
      <c r="AF235" s="1">
        <v>144.19999999999999</v>
      </c>
    </row>
    <row r="236" spans="1:32" x14ac:dyDescent="0.3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f t="shared" si="5"/>
        <v>1834.5000000000002</v>
      </c>
      <c r="R236" s="1">
        <v>165.1</v>
      </c>
      <c r="S236" s="1">
        <v>151.80000000000001</v>
      </c>
      <c r="T236" s="1">
        <v>146.6</v>
      </c>
      <c r="U236" s="1">
        <v>151.1</v>
      </c>
      <c r="V236" s="1" t="s">
        <v>32</v>
      </c>
      <c r="W236" s="1">
        <v>146.4</v>
      </c>
      <c r="X236" s="1">
        <v>150.19999999999999</v>
      </c>
      <c r="Y236" s="1">
        <v>152.69999999999999</v>
      </c>
      <c r="Z236" s="1">
        <v>131.4</v>
      </c>
      <c r="AA236" s="1"/>
      <c r="AB236" s="1">
        <v>148</v>
      </c>
      <c r="AC236" s="1">
        <v>159.69999999999999</v>
      </c>
      <c r="AD236" s="1">
        <v>138.80000000000001</v>
      </c>
      <c r="AE236" s="1">
        <v>144.9</v>
      </c>
      <c r="AF236" s="1">
        <v>145.69999999999999</v>
      </c>
    </row>
    <row r="237" spans="1:32" x14ac:dyDescent="0.3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f t="shared" si="5"/>
        <v>1869.1</v>
      </c>
      <c r="R237" s="1">
        <v>167.9</v>
      </c>
      <c r="S237" s="1">
        <v>145</v>
      </c>
      <c r="T237" s="1">
        <v>132.19999999999999</v>
      </c>
      <c r="U237" s="1">
        <v>143</v>
      </c>
      <c r="V237" s="1">
        <v>151.6</v>
      </c>
      <c r="W237" s="1">
        <v>125.5</v>
      </c>
      <c r="X237" s="1">
        <v>138.1</v>
      </c>
      <c r="Y237" s="1">
        <v>141.5</v>
      </c>
      <c r="Z237" s="1">
        <v>120.8</v>
      </c>
      <c r="AA237" s="1"/>
      <c r="AB237" s="1">
        <v>135.4</v>
      </c>
      <c r="AC237" s="1">
        <v>151.5</v>
      </c>
      <c r="AD237" s="1">
        <v>137.80000000000001</v>
      </c>
      <c r="AE237" s="1">
        <v>135.30000000000001</v>
      </c>
      <c r="AF237" s="1">
        <v>144.19999999999999</v>
      </c>
    </row>
    <row r="238" spans="1:32" x14ac:dyDescent="0.3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f t="shared" si="5"/>
        <v>1846.5</v>
      </c>
      <c r="R238" s="1">
        <v>165.8</v>
      </c>
      <c r="S238" s="1">
        <v>149.1</v>
      </c>
      <c r="T238" s="1">
        <v>140.6</v>
      </c>
      <c r="U238" s="1">
        <v>147.9</v>
      </c>
      <c r="V238" s="1">
        <v>151.6</v>
      </c>
      <c r="W238" s="1">
        <v>138.5</v>
      </c>
      <c r="X238" s="1">
        <v>144.5</v>
      </c>
      <c r="Y238" s="1">
        <v>148.5</v>
      </c>
      <c r="Z238" s="1">
        <v>125.8</v>
      </c>
      <c r="AA238" s="1"/>
      <c r="AB238" s="1">
        <v>140.9</v>
      </c>
      <c r="AC238" s="1">
        <v>154.9</v>
      </c>
      <c r="AD238" s="1">
        <v>138.4</v>
      </c>
      <c r="AE238" s="1">
        <v>140.19999999999999</v>
      </c>
      <c r="AF238" s="1">
        <v>145</v>
      </c>
    </row>
    <row r="239" spans="1:32" x14ac:dyDescent="0.3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f t="shared" si="5"/>
        <v>1848.7</v>
      </c>
      <c r="R239" s="1">
        <v>165.7</v>
      </c>
      <c r="S239" s="1">
        <v>151.69999999999999</v>
      </c>
      <c r="T239" s="1">
        <v>146.6</v>
      </c>
      <c r="U239" s="1">
        <v>151</v>
      </c>
      <c r="V239" s="1" t="s">
        <v>32</v>
      </c>
      <c r="W239" s="1">
        <v>146.9</v>
      </c>
      <c r="X239" s="1">
        <v>150.30000000000001</v>
      </c>
      <c r="Y239" s="1">
        <v>153.4</v>
      </c>
      <c r="Z239" s="1">
        <v>131.6</v>
      </c>
      <c r="AA239" s="1"/>
      <c r="AB239" s="1">
        <v>148.30000000000001</v>
      </c>
      <c r="AC239" s="1">
        <v>160.19999999999999</v>
      </c>
      <c r="AD239" s="1">
        <v>140.19999999999999</v>
      </c>
      <c r="AE239" s="1">
        <v>145.4</v>
      </c>
      <c r="AF239" s="1">
        <v>146.69999999999999</v>
      </c>
    </row>
    <row r="240" spans="1:32" x14ac:dyDescent="0.3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f t="shared" si="5"/>
        <v>1874.9</v>
      </c>
      <c r="R240" s="1">
        <v>168.6</v>
      </c>
      <c r="S240" s="1">
        <v>145.30000000000001</v>
      </c>
      <c r="T240" s="1">
        <v>132.19999999999999</v>
      </c>
      <c r="U240" s="1">
        <v>143.30000000000001</v>
      </c>
      <c r="V240" s="1">
        <v>152.19999999999999</v>
      </c>
      <c r="W240" s="1">
        <v>126.6</v>
      </c>
      <c r="X240" s="1">
        <v>138.30000000000001</v>
      </c>
      <c r="Y240" s="1">
        <v>141.9</v>
      </c>
      <c r="Z240" s="1">
        <v>121.2</v>
      </c>
      <c r="AA240" s="1"/>
      <c r="AB240" s="1">
        <v>135.9</v>
      </c>
      <c r="AC240" s="1">
        <v>151.6</v>
      </c>
      <c r="AD240" s="1">
        <v>139</v>
      </c>
      <c r="AE240" s="1">
        <v>135.69999999999999</v>
      </c>
      <c r="AF240" s="1">
        <v>144.69999999999999</v>
      </c>
    </row>
    <row r="241" spans="1:32" x14ac:dyDescent="0.3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f t="shared" si="5"/>
        <v>1857.6999999999998</v>
      </c>
      <c r="R241" s="1">
        <v>166.5</v>
      </c>
      <c r="S241" s="1">
        <v>149.19999999999999</v>
      </c>
      <c r="T241" s="1">
        <v>140.6</v>
      </c>
      <c r="U241" s="1">
        <v>147.9</v>
      </c>
      <c r="V241" s="1">
        <v>152.19999999999999</v>
      </c>
      <c r="W241" s="1">
        <v>139.19999999999999</v>
      </c>
      <c r="X241" s="1">
        <v>144.6</v>
      </c>
      <c r="Y241" s="1">
        <v>149</v>
      </c>
      <c r="Z241" s="1">
        <v>126.1</v>
      </c>
      <c r="AA241" s="1"/>
      <c r="AB241" s="1">
        <v>141.30000000000001</v>
      </c>
      <c r="AC241" s="1">
        <v>155.19999999999999</v>
      </c>
      <c r="AD241" s="1">
        <v>139.69999999999999</v>
      </c>
      <c r="AE241" s="1">
        <v>140.69999999999999</v>
      </c>
      <c r="AF241" s="1">
        <v>145.80000000000001</v>
      </c>
    </row>
    <row r="242" spans="1:32" x14ac:dyDescent="0.3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f t="shared" si="5"/>
        <v>1876.8999999999996</v>
      </c>
      <c r="R242" s="1">
        <v>166.3</v>
      </c>
      <c r="S242" s="1">
        <v>151.69999999999999</v>
      </c>
      <c r="T242" s="1">
        <v>146.69999999999999</v>
      </c>
      <c r="U242" s="1">
        <v>151</v>
      </c>
      <c r="V242" s="1" t="s">
        <v>32</v>
      </c>
      <c r="W242" s="1">
        <v>147.69999999999999</v>
      </c>
      <c r="X242" s="1">
        <v>150.6</v>
      </c>
      <c r="Y242" s="1">
        <v>153.69999999999999</v>
      </c>
      <c r="Z242" s="1">
        <v>131.69999999999999</v>
      </c>
      <c r="AA242" s="1"/>
      <c r="AB242" s="1">
        <v>148.69999999999999</v>
      </c>
      <c r="AC242" s="1">
        <v>160.69999999999999</v>
      </c>
      <c r="AD242" s="1">
        <v>140.30000000000001</v>
      </c>
      <c r="AE242" s="1">
        <v>145.69999999999999</v>
      </c>
      <c r="AF242" s="1">
        <v>148.30000000000001</v>
      </c>
    </row>
    <row r="243" spans="1:32" x14ac:dyDescent="0.3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f t="shared" si="5"/>
        <v>1902.6000000000001</v>
      </c>
      <c r="R243" s="1">
        <v>169.3</v>
      </c>
      <c r="S243" s="1">
        <v>145.9</v>
      </c>
      <c r="T243" s="1">
        <v>132.4</v>
      </c>
      <c r="U243" s="1">
        <v>143.9</v>
      </c>
      <c r="V243" s="1">
        <v>153</v>
      </c>
      <c r="W243" s="1">
        <v>128.9</v>
      </c>
      <c r="X243" s="1">
        <v>138.69999999999999</v>
      </c>
      <c r="Y243" s="1">
        <v>142.4</v>
      </c>
      <c r="Z243" s="1">
        <v>121.5</v>
      </c>
      <c r="AA243" s="1"/>
      <c r="AB243" s="1">
        <v>136.19999999999999</v>
      </c>
      <c r="AC243" s="1">
        <v>151.69999999999999</v>
      </c>
      <c r="AD243" s="1">
        <v>139.5</v>
      </c>
      <c r="AE243" s="1">
        <v>136</v>
      </c>
      <c r="AF243" s="1">
        <v>146</v>
      </c>
    </row>
    <row r="244" spans="1:32" x14ac:dyDescent="0.3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f t="shared" si="5"/>
        <v>1885.5999999999997</v>
      </c>
      <c r="R244" s="1">
        <v>167.1</v>
      </c>
      <c r="S244" s="1">
        <v>149.4</v>
      </c>
      <c r="T244" s="1">
        <v>140.80000000000001</v>
      </c>
      <c r="U244" s="1">
        <v>148.19999999999999</v>
      </c>
      <c r="V244" s="1">
        <v>153</v>
      </c>
      <c r="W244" s="1">
        <v>140.6</v>
      </c>
      <c r="X244" s="1">
        <v>145</v>
      </c>
      <c r="Y244" s="1">
        <v>149.4</v>
      </c>
      <c r="Z244" s="1">
        <v>126.3</v>
      </c>
      <c r="AA244" s="1"/>
      <c r="AB244" s="1">
        <v>141.69999999999999</v>
      </c>
      <c r="AC244" s="1">
        <v>155.4</v>
      </c>
      <c r="AD244" s="1">
        <v>140</v>
      </c>
      <c r="AE244" s="1">
        <v>141</v>
      </c>
      <c r="AF244" s="1">
        <v>147.19999999999999</v>
      </c>
    </row>
    <row r="245" spans="1:32" x14ac:dyDescent="0.3">
      <c r="A245" s="1" t="s">
        <v>30</v>
      </c>
      <c r="B245" s="1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f t="shared" si="5"/>
        <v>1904.6000000000001</v>
      </c>
      <c r="R245" s="1">
        <v>167.2</v>
      </c>
      <c r="S245" s="1">
        <v>152.30000000000001</v>
      </c>
      <c r="T245" s="1">
        <v>147</v>
      </c>
      <c r="U245" s="1">
        <v>151.5</v>
      </c>
      <c r="V245" s="1" t="s">
        <v>32</v>
      </c>
      <c r="W245" s="1">
        <v>148.4</v>
      </c>
      <c r="X245" s="1">
        <v>150.9</v>
      </c>
      <c r="Y245" s="1">
        <v>154.30000000000001</v>
      </c>
      <c r="Z245" s="1">
        <v>132.1</v>
      </c>
      <c r="AA245" s="1"/>
      <c r="AB245" s="1">
        <v>149.1</v>
      </c>
      <c r="AC245" s="1">
        <v>160.80000000000001</v>
      </c>
      <c r="AD245" s="1">
        <v>140.6</v>
      </c>
      <c r="AE245" s="1">
        <v>146.1</v>
      </c>
      <c r="AF245" s="1">
        <v>149.9</v>
      </c>
    </row>
    <row r="246" spans="1:32" x14ac:dyDescent="0.3">
      <c r="A246" s="1" t="s">
        <v>33</v>
      </c>
      <c r="B246" s="1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f t="shared" si="5"/>
        <v>1923.9999999999998</v>
      </c>
      <c r="R246" s="1">
        <v>169.9</v>
      </c>
      <c r="S246" s="1">
        <v>146.30000000000001</v>
      </c>
      <c r="T246" s="1">
        <v>132.6</v>
      </c>
      <c r="U246" s="1">
        <v>144.19999999999999</v>
      </c>
      <c r="V246" s="1">
        <v>153.5</v>
      </c>
      <c r="W246" s="1">
        <v>132.19999999999999</v>
      </c>
      <c r="X246" s="1">
        <v>139.1</v>
      </c>
      <c r="Y246" s="1">
        <v>142.80000000000001</v>
      </c>
      <c r="Z246" s="1">
        <v>121.7</v>
      </c>
      <c r="AA246" s="1"/>
      <c r="AB246" s="1">
        <v>136.69999999999999</v>
      </c>
      <c r="AC246" s="1">
        <v>151.80000000000001</v>
      </c>
      <c r="AD246" s="1">
        <v>139.80000000000001</v>
      </c>
      <c r="AE246" s="1">
        <v>136.30000000000001</v>
      </c>
      <c r="AF246" s="1">
        <v>147</v>
      </c>
    </row>
    <row r="247" spans="1:32" x14ac:dyDescent="0.3">
      <c r="A247" s="1" t="s">
        <v>34</v>
      </c>
      <c r="B247" s="1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f t="shared" si="5"/>
        <v>1910.9</v>
      </c>
      <c r="R247" s="1">
        <v>167.9</v>
      </c>
      <c r="S247" s="1">
        <v>149.9</v>
      </c>
      <c r="T247" s="1">
        <v>141</v>
      </c>
      <c r="U247" s="1">
        <v>148.6</v>
      </c>
      <c r="V247" s="1">
        <v>153.5</v>
      </c>
      <c r="W247" s="1">
        <v>142.30000000000001</v>
      </c>
      <c r="X247" s="1">
        <v>145.30000000000001</v>
      </c>
      <c r="Y247" s="1">
        <v>149.9</v>
      </c>
      <c r="Z247" s="1">
        <v>126.6</v>
      </c>
      <c r="AA247" s="1"/>
      <c r="AB247" s="1">
        <v>142.1</v>
      </c>
      <c r="AC247" s="1">
        <v>155.5</v>
      </c>
      <c r="AD247" s="1">
        <v>140.30000000000001</v>
      </c>
      <c r="AE247" s="1">
        <v>141.30000000000001</v>
      </c>
      <c r="AF247" s="1">
        <v>148.6</v>
      </c>
    </row>
    <row r="248" spans="1:32" x14ac:dyDescent="0.3">
      <c r="A248" s="1" t="s">
        <v>30</v>
      </c>
      <c r="B248" s="1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f t="shared" si="5"/>
        <v>1940.9999999999995</v>
      </c>
      <c r="R248" s="1">
        <v>167.8</v>
      </c>
      <c r="S248" s="1">
        <v>152.6</v>
      </c>
      <c r="T248" s="1">
        <v>147.30000000000001</v>
      </c>
      <c r="U248" s="1">
        <v>151.9</v>
      </c>
      <c r="V248" s="1" t="s">
        <v>32</v>
      </c>
      <c r="W248" s="1">
        <v>149.9</v>
      </c>
      <c r="X248" s="1">
        <v>151.19999999999999</v>
      </c>
      <c r="Y248" s="1">
        <v>154.80000000000001</v>
      </c>
      <c r="Z248" s="1">
        <v>135</v>
      </c>
      <c r="AA248" s="1"/>
      <c r="AB248" s="1">
        <v>149.5</v>
      </c>
      <c r="AC248" s="1">
        <v>161.1</v>
      </c>
      <c r="AD248" s="1">
        <v>140.6</v>
      </c>
      <c r="AE248" s="1">
        <v>147.1</v>
      </c>
      <c r="AF248" s="1">
        <v>152.30000000000001</v>
      </c>
    </row>
    <row r="249" spans="1:32" x14ac:dyDescent="0.3">
      <c r="A249" s="1" t="s">
        <v>33</v>
      </c>
      <c r="B249" s="1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f t="shared" si="5"/>
        <v>1956.7</v>
      </c>
      <c r="R249" s="1">
        <v>170.4</v>
      </c>
      <c r="S249" s="1">
        <v>146.80000000000001</v>
      </c>
      <c r="T249" s="1">
        <v>132.80000000000001</v>
      </c>
      <c r="U249" s="1">
        <v>144.6</v>
      </c>
      <c r="V249" s="1">
        <v>152.80000000000001</v>
      </c>
      <c r="W249" s="1">
        <v>133.6</v>
      </c>
      <c r="X249" s="1">
        <v>139.80000000000001</v>
      </c>
      <c r="Y249" s="1">
        <v>143.19999999999999</v>
      </c>
      <c r="Z249" s="1">
        <v>125.2</v>
      </c>
      <c r="AA249" s="1"/>
      <c r="AB249" s="1">
        <v>136.80000000000001</v>
      </c>
      <c r="AC249" s="1">
        <v>151.9</v>
      </c>
      <c r="AD249" s="1">
        <v>140.19999999999999</v>
      </c>
      <c r="AE249" s="1">
        <v>137.69999999999999</v>
      </c>
      <c r="AF249" s="1">
        <v>148.30000000000001</v>
      </c>
    </row>
    <row r="250" spans="1:32" x14ac:dyDescent="0.3">
      <c r="A250" s="1" t="s">
        <v>34</v>
      </c>
      <c r="B250" s="1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f t="shared" si="5"/>
        <v>1946.1000000000001</v>
      </c>
      <c r="R250" s="1">
        <v>168.5</v>
      </c>
      <c r="S250" s="1">
        <v>150.30000000000001</v>
      </c>
      <c r="T250" s="1">
        <v>141.30000000000001</v>
      </c>
      <c r="U250" s="1">
        <v>149</v>
      </c>
      <c r="V250" s="1">
        <v>152.80000000000001</v>
      </c>
      <c r="W250" s="1">
        <v>143.69999999999999</v>
      </c>
      <c r="X250" s="1">
        <v>145.80000000000001</v>
      </c>
      <c r="Y250" s="1">
        <v>150.4</v>
      </c>
      <c r="Z250" s="1">
        <v>129.80000000000001</v>
      </c>
      <c r="AA250" s="1"/>
      <c r="AB250" s="1">
        <v>142.30000000000001</v>
      </c>
      <c r="AC250" s="1">
        <v>155.69999999999999</v>
      </c>
      <c r="AD250" s="1">
        <v>140.4</v>
      </c>
      <c r="AE250" s="1">
        <v>142.5</v>
      </c>
      <c r="AF250" s="1">
        <v>150.4</v>
      </c>
    </row>
    <row r="251" spans="1:32" x14ac:dyDescent="0.3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f t="shared" si="5"/>
        <v>1938.6</v>
      </c>
      <c r="R251" s="1">
        <v>168.6</v>
      </c>
      <c r="S251" s="1">
        <v>152.80000000000001</v>
      </c>
      <c r="T251" s="1">
        <v>147.4</v>
      </c>
      <c r="U251" s="1">
        <v>152.1</v>
      </c>
      <c r="V251" s="1" t="s">
        <v>32</v>
      </c>
      <c r="W251" s="1">
        <v>150.4</v>
      </c>
      <c r="X251" s="1">
        <v>151.69999999999999</v>
      </c>
      <c r="Y251" s="1">
        <v>155.69999999999999</v>
      </c>
      <c r="Z251" s="1">
        <v>136.30000000000001</v>
      </c>
      <c r="AA251" s="1"/>
      <c r="AB251" s="1">
        <v>150.1</v>
      </c>
      <c r="AC251" s="1">
        <v>161.69999999999999</v>
      </c>
      <c r="AD251" s="1">
        <v>142.5</v>
      </c>
      <c r="AE251" s="1">
        <v>148.1</v>
      </c>
      <c r="AF251" s="1">
        <v>151.9</v>
      </c>
    </row>
    <row r="252" spans="1:32" x14ac:dyDescent="0.3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f t="shared" si="5"/>
        <v>1945.3999999999999</v>
      </c>
      <c r="R252" s="1">
        <v>170.8</v>
      </c>
      <c r="S252" s="1">
        <v>147</v>
      </c>
      <c r="T252" s="1">
        <v>133.19999999999999</v>
      </c>
      <c r="U252" s="1">
        <v>144.9</v>
      </c>
      <c r="V252" s="1">
        <v>153.9</v>
      </c>
      <c r="W252" s="1">
        <v>135.1</v>
      </c>
      <c r="X252" s="1">
        <v>140.1</v>
      </c>
      <c r="Y252" s="1">
        <v>143.80000000000001</v>
      </c>
      <c r="Z252" s="1">
        <v>126.1</v>
      </c>
      <c r="AA252" s="1"/>
      <c r="AB252" s="1">
        <v>137.19999999999999</v>
      </c>
      <c r="AC252" s="1">
        <v>152.1</v>
      </c>
      <c r="AD252" s="1">
        <v>142.1</v>
      </c>
      <c r="AE252" s="1">
        <v>138.4</v>
      </c>
      <c r="AF252" s="1">
        <v>148.19999999999999</v>
      </c>
    </row>
    <row r="253" spans="1:32" x14ac:dyDescent="0.3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f t="shared" si="5"/>
        <v>1940.3999999999999</v>
      </c>
      <c r="R253" s="1">
        <v>169.2</v>
      </c>
      <c r="S253" s="1">
        <v>150.5</v>
      </c>
      <c r="T253" s="1">
        <v>141.5</v>
      </c>
      <c r="U253" s="1">
        <v>149.19999999999999</v>
      </c>
      <c r="V253" s="1">
        <v>153.9</v>
      </c>
      <c r="W253" s="1">
        <v>144.6</v>
      </c>
      <c r="X253" s="1">
        <v>146.19999999999999</v>
      </c>
      <c r="Y253" s="1">
        <v>151.19999999999999</v>
      </c>
      <c r="Z253" s="1">
        <v>130.9</v>
      </c>
      <c r="AA253" s="1"/>
      <c r="AB253" s="1">
        <v>142.80000000000001</v>
      </c>
      <c r="AC253" s="1">
        <v>156.1</v>
      </c>
      <c r="AD253" s="1">
        <v>142.30000000000001</v>
      </c>
      <c r="AE253" s="1">
        <v>143.4</v>
      </c>
      <c r="AF253" s="1">
        <v>150.19999999999999</v>
      </c>
    </row>
    <row r="254" spans="1:32" x14ac:dyDescent="0.3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f t="shared" si="5"/>
        <v>1909.7999999999997</v>
      </c>
      <c r="R254" s="1">
        <v>169.4</v>
      </c>
      <c r="S254" s="1">
        <v>153</v>
      </c>
      <c r="T254" s="1">
        <v>147.5</v>
      </c>
      <c r="U254" s="1">
        <v>152.30000000000001</v>
      </c>
      <c r="V254" s="1" t="s">
        <v>32</v>
      </c>
      <c r="W254" s="1">
        <v>152.30000000000001</v>
      </c>
      <c r="X254" s="1">
        <v>151.80000000000001</v>
      </c>
      <c r="Y254" s="1">
        <v>156.19999999999999</v>
      </c>
      <c r="Z254" s="1">
        <v>136</v>
      </c>
      <c r="AA254" s="1"/>
      <c r="AB254" s="1">
        <v>150.4</v>
      </c>
      <c r="AC254" s="1">
        <v>161.9</v>
      </c>
      <c r="AD254" s="1">
        <v>143.4</v>
      </c>
      <c r="AE254" s="1">
        <v>148.4</v>
      </c>
      <c r="AF254" s="1">
        <v>150.4</v>
      </c>
    </row>
    <row r="255" spans="1:32" x14ac:dyDescent="0.3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f t="shared" si="5"/>
        <v>1916.6</v>
      </c>
      <c r="R255" s="1">
        <v>172</v>
      </c>
      <c r="S255" s="1">
        <v>147.30000000000001</v>
      </c>
      <c r="T255" s="1">
        <v>133.5</v>
      </c>
      <c r="U255" s="1">
        <v>145.19999999999999</v>
      </c>
      <c r="V255" s="1">
        <v>154.80000000000001</v>
      </c>
      <c r="W255" s="1">
        <v>138.9</v>
      </c>
      <c r="X255" s="1">
        <v>140.4</v>
      </c>
      <c r="Y255" s="1">
        <v>144.4</v>
      </c>
      <c r="Z255" s="1">
        <v>125.2</v>
      </c>
      <c r="AA255" s="1"/>
      <c r="AB255" s="1">
        <v>137.69999999999999</v>
      </c>
      <c r="AC255" s="1">
        <v>152.19999999999999</v>
      </c>
      <c r="AD255" s="1">
        <v>143.5</v>
      </c>
      <c r="AE255" s="1">
        <v>138.4</v>
      </c>
      <c r="AF255" s="1">
        <v>147.69999999999999</v>
      </c>
    </row>
    <row r="256" spans="1:32" x14ac:dyDescent="0.3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f t="shared" si="5"/>
        <v>1911.6</v>
      </c>
      <c r="R256" s="1">
        <v>170.1</v>
      </c>
      <c r="S256" s="1">
        <v>150.80000000000001</v>
      </c>
      <c r="T256" s="1">
        <v>141.69999999999999</v>
      </c>
      <c r="U256" s="1">
        <v>149.5</v>
      </c>
      <c r="V256" s="1">
        <v>154.80000000000001</v>
      </c>
      <c r="W256" s="1">
        <v>147.19999999999999</v>
      </c>
      <c r="X256" s="1">
        <v>146.4</v>
      </c>
      <c r="Y256" s="1">
        <v>151.69999999999999</v>
      </c>
      <c r="Z256" s="1">
        <v>130.30000000000001</v>
      </c>
      <c r="AA256" s="1"/>
      <c r="AB256" s="1">
        <v>143.19999999999999</v>
      </c>
      <c r="AC256" s="1">
        <v>156.19999999999999</v>
      </c>
      <c r="AD256" s="1">
        <v>143.4</v>
      </c>
      <c r="AE256" s="1">
        <v>143.6</v>
      </c>
      <c r="AF256" s="1">
        <v>149.1</v>
      </c>
    </row>
    <row r="257" spans="1:32" x14ac:dyDescent="0.3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f t="shared" si="5"/>
        <v>1894.5999999999997</v>
      </c>
      <c r="R257" s="1">
        <v>170.5</v>
      </c>
      <c r="S257" s="1">
        <v>153.4</v>
      </c>
      <c r="T257" s="1">
        <v>147.6</v>
      </c>
      <c r="U257" s="1">
        <v>152.5</v>
      </c>
      <c r="V257" s="1" t="s">
        <v>32</v>
      </c>
      <c r="W257" s="1">
        <v>153.4</v>
      </c>
      <c r="X257" s="1">
        <v>151.5</v>
      </c>
      <c r="Y257" s="1">
        <v>156.69999999999999</v>
      </c>
      <c r="Z257" s="1">
        <v>135.80000000000001</v>
      </c>
      <c r="AA257" s="1">
        <f t="shared" ref="AA257:AA259" si="7">X257+Z257</f>
        <v>287.3</v>
      </c>
      <c r="AB257" s="1">
        <v>151.19999999999999</v>
      </c>
      <c r="AC257" s="1">
        <v>161.19999999999999</v>
      </c>
      <c r="AD257" s="1">
        <v>145.1</v>
      </c>
      <c r="AE257" s="1">
        <v>148.6</v>
      </c>
      <c r="AF257" s="1">
        <v>149.80000000000001</v>
      </c>
    </row>
    <row r="258" spans="1:32" x14ac:dyDescent="0.3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f t="shared" si="5"/>
        <v>1898.5</v>
      </c>
      <c r="R258" s="1">
        <v>173.3</v>
      </c>
      <c r="S258" s="1">
        <v>147.69999999999999</v>
      </c>
      <c r="T258" s="1">
        <v>133.80000000000001</v>
      </c>
      <c r="U258" s="1">
        <v>145.6</v>
      </c>
      <c r="V258" s="1">
        <v>154.5</v>
      </c>
      <c r="W258" s="1">
        <v>141.4</v>
      </c>
      <c r="X258" s="1">
        <v>140.80000000000001</v>
      </c>
      <c r="Y258" s="1">
        <v>145</v>
      </c>
      <c r="Z258" s="1">
        <v>124.6</v>
      </c>
      <c r="AA258" s="1">
        <f t="shared" si="7"/>
        <v>265.39999999999998</v>
      </c>
      <c r="AB258" s="1">
        <v>137.9</v>
      </c>
      <c r="AC258" s="1">
        <v>152.5</v>
      </c>
      <c r="AD258" s="1">
        <v>145.30000000000001</v>
      </c>
      <c r="AE258" s="1">
        <v>138.69999999999999</v>
      </c>
      <c r="AF258" s="1">
        <v>147.30000000000001</v>
      </c>
    </row>
    <row r="259" spans="1:32" x14ac:dyDescent="0.3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f t="shared" ref="Q259:Q322" si="8">SUM(D259:P259)</f>
        <v>1895.4</v>
      </c>
      <c r="R259" s="1">
        <v>171.2</v>
      </c>
      <c r="S259" s="1">
        <v>151.19999999999999</v>
      </c>
      <c r="T259" s="1">
        <v>141.9</v>
      </c>
      <c r="U259" s="1">
        <v>149.80000000000001</v>
      </c>
      <c r="V259" s="1">
        <v>154.5</v>
      </c>
      <c r="W259" s="1">
        <v>148.9</v>
      </c>
      <c r="X259" s="1">
        <v>146.4</v>
      </c>
      <c r="Y259" s="1">
        <v>152.30000000000001</v>
      </c>
      <c r="Z259" s="1">
        <v>129.9</v>
      </c>
      <c r="AA259" s="1">
        <f t="shared" si="7"/>
        <v>276.3</v>
      </c>
      <c r="AB259" s="1">
        <v>143.69999999999999</v>
      </c>
      <c r="AC259" s="1">
        <v>156.1</v>
      </c>
      <c r="AD259" s="1">
        <v>145.19999999999999</v>
      </c>
      <c r="AE259" s="1">
        <v>143.80000000000001</v>
      </c>
      <c r="AF259" s="1">
        <v>148.6</v>
      </c>
    </row>
    <row r="260" spans="1:32" x14ac:dyDescent="0.3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>
        <f t="shared" si="8"/>
        <v>1614.8000000000002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 t="s">
        <v>32</v>
      </c>
      <c r="W260" s="1">
        <v>148.4</v>
      </c>
      <c r="X260" s="1" t="s">
        <v>32</v>
      </c>
      <c r="Y260" s="1">
        <v>154.30000000000001</v>
      </c>
      <c r="Z260" s="1" t="s">
        <v>32</v>
      </c>
      <c r="AA260" s="1"/>
      <c r="AB260" s="1" t="s">
        <v>32</v>
      </c>
      <c r="AC260" s="1" t="s">
        <v>32</v>
      </c>
      <c r="AD260" s="1" t="s">
        <v>32</v>
      </c>
      <c r="AE260" s="1" t="s">
        <v>32</v>
      </c>
      <c r="AF260" s="1" t="s">
        <v>32</v>
      </c>
    </row>
    <row r="261" spans="1:32" x14ac:dyDescent="0.3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>
        <f t="shared" si="8"/>
        <v>1636.7</v>
      </c>
      <c r="R261" s="1" t="s">
        <v>32</v>
      </c>
      <c r="S261" s="1" t="s">
        <v>32</v>
      </c>
      <c r="T261" s="1" t="s">
        <v>32</v>
      </c>
      <c r="U261" s="1" t="s">
        <v>32</v>
      </c>
      <c r="V261" s="1">
        <v>155.6</v>
      </c>
      <c r="W261" s="1">
        <v>137.1</v>
      </c>
      <c r="X261" s="1" t="s">
        <v>32</v>
      </c>
      <c r="Y261" s="1">
        <v>144.80000000000001</v>
      </c>
      <c r="Z261" s="1" t="s">
        <v>32</v>
      </c>
      <c r="AA261" s="1"/>
      <c r="AB261" s="1" t="s">
        <v>32</v>
      </c>
      <c r="AC261" s="1" t="s">
        <v>32</v>
      </c>
      <c r="AD261" s="1" t="s">
        <v>32</v>
      </c>
      <c r="AE261" s="1" t="s">
        <v>32</v>
      </c>
      <c r="AF261" s="1" t="s">
        <v>32</v>
      </c>
    </row>
    <row r="262" spans="1:32" x14ac:dyDescent="0.3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>
        <f t="shared" si="8"/>
        <v>1622.7</v>
      </c>
      <c r="R262" s="1" t="s">
        <v>32</v>
      </c>
      <c r="S262" s="1" t="s">
        <v>32</v>
      </c>
      <c r="T262" s="1" t="s">
        <v>32</v>
      </c>
      <c r="U262" s="1" t="s">
        <v>32</v>
      </c>
      <c r="V262" s="1">
        <v>155.6</v>
      </c>
      <c r="W262" s="1">
        <v>144.1</v>
      </c>
      <c r="X262" s="1" t="s">
        <v>32</v>
      </c>
      <c r="Y262" s="1">
        <v>150.69999999999999</v>
      </c>
      <c r="Z262" s="1" t="s">
        <v>32</v>
      </c>
      <c r="AA262" s="1"/>
      <c r="AB262" s="1" t="s">
        <v>32</v>
      </c>
      <c r="AC262" s="1" t="s">
        <v>32</v>
      </c>
      <c r="AD262" s="1" t="s">
        <v>32</v>
      </c>
      <c r="AE262" s="1" t="s">
        <v>32</v>
      </c>
      <c r="AF262" s="1" t="s">
        <v>32</v>
      </c>
    </row>
    <row r="263" spans="1:32" x14ac:dyDescent="0.3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>
        <f t="shared" si="8"/>
        <v>0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/>
      <c r="AB263" s="1" t="s">
        <v>32</v>
      </c>
      <c r="AC263" s="1" t="s">
        <v>32</v>
      </c>
      <c r="AD263" s="1" t="s">
        <v>32</v>
      </c>
      <c r="AE263" s="1" t="s">
        <v>32</v>
      </c>
      <c r="AF263" s="1" t="s">
        <v>32</v>
      </c>
    </row>
    <row r="264" spans="1:32" x14ac:dyDescent="0.3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>
        <f t="shared" si="8"/>
        <v>0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/>
      <c r="AB264" s="1" t="s">
        <v>32</v>
      </c>
      <c r="AC264" s="1" t="s">
        <v>32</v>
      </c>
      <c r="AD264" s="1" t="s">
        <v>32</v>
      </c>
      <c r="AE264" s="1" t="s">
        <v>32</v>
      </c>
      <c r="AF264" s="1" t="s">
        <v>32</v>
      </c>
    </row>
    <row r="265" spans="1:32" x14ac:dyDescent="0.3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>
        <f t="shared" si="8"/>
        <v>0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/>
      <c r="AB265" s="1" t="s">
        <v>32</v>
      </c>
      <c r="AC265" s="1" t="s">
        <v>32</v>
      </c>
      <c r="AD265" s="1" t="s">
        <v>32</v>
      </c>
      <c r="AE265" s="1" t="s">
        <v>32</v>
      </c>
      <c r="AF265" s="1">
        <v>151</v>
      </c>
    </row>
    <row r="266" spans="1:32" x14ac:dyDescent="0.3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f t="shared" si="8"/>
        <v>1951</v>
      </c>
      <c r="R266" s="1">
        <v>182.4</v>
      </c>
      <c r="S266" s="1">
        <v>154.69999999999999</v>
      </c>
      <c r="T266" s="1">
        <v>150</v>
      </c>
      <c r="U266" s="1">
        <v>154.1</v>
      </c>
      <c r="V266" s="1" t="s">
        <v>32</v>
      </c>
      <c r="W266" s="1">
        <v>144.9</v>
      </c>
      <c r="X266" s="1">
        <v>151.69999999999999</v>
      </c>
      <c r="Y266" s="1">
        <v>158.19999999999999</v>
      </c>
      <c r="Z266" s="1">
        <v>141.4</v>
      </c>
      <c r="AA266" s="1"/>
      <c r="AB266" s="1">
        <v>153.19999999999999</v>
      </c>
      <c r="AC266" s="1">
        <v>161.80000000000001</v>
      </c>
      <c r="AD266" s="1">
        <v>151.19999999999999</v>
      </c>
      <c r="AE266" s="1">
        <v>151.69999999999999</v>
      </c>
      <c r="AF266" s="1">
        <v>152.69999999999999</v>
      </c>
    </row>
    <row r="267" spans="1:32" x14ac:dyDescent="0.3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f t="shared" si="8"/>
        <v>1994.9999999999998</v>
      </c>
      <c r="R267" s="1">
        <v>186.7</v>
      </c>
      <c r="S267" s="1">
        <v>149.1</v>
      </c>
      <c r="T267" s="1">
        <v>136.6</v>
      </c>
      <c r="U267" s="1">
        <v>147.19999999999999</v>
      </c>
      <c r="V267" s="1">
        <v>154.69999999999999</v>
      </c>
      <c r="W267" s="1">
        <v>137.1</v>
      </c>
      <c r="X267" s="1">
        <v>140.4</v>
      </c>
      <c r="Y267" s="1">
        <v>148.1</v>
      </c>
      <c r="Z267" s="1">
        <v>129.30000000000001</v>
      </c>
      <c r="AA267" s="1"/>
      <c r="AB267" s="1">
        <v>144.5</v>
      </c>
      <c r="AC267" s="1">
        <v>152.5</v>
      </c>
      <c r="AD267" s="1">
        <v>152.19999999999999</v>
      </c>
      <c r="AE267" s="1">
        <v>142</v>
      </c>
      <c r="AF267" s="1">
        <v>150.80000000000001</v>
      </c>
    </row>
    <row r="268" spans="1:32" x14ac:dyDescent="0.3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f t="shared" si="8"/>
        <v>1966.8000000000002</v>
      </c>
      <c r="R268" s="1">
        <v>183.5</v>
      </c>
      <c r="S268" s="1">
        <v>152.5</v>
      </c>
      <c r="T268" s="1">
        <v>144.4</v>
      </c>
      <c r="U268" s="1">
        <v>151.4</v>
      </c>
      <c r="V268" s="1">
        <v>154.69999999999999</v>
      </c>
      <c r="W268" s="1">
        <v>141.9</v>
      </c>
      <c r="X268" s="1">
        <v>146.4</v>
      </c>
      <c r="Y268" s="1">
        <v>154.4</v>
      </c>
      <c r="Z268" s="1">
        <v>135</v>
      </c>
      <c r="AA268" s="1"/>
      <c r="AB268" s="1">
        <v>148.30000000000001</v>
      </c>
      <c r="AC268" s="1">
        <v>156.4</v>
      </c>
      <c r="AD268" s="1">
        <v>151.6</v>
      </c>
      <c r="AE268" s="1">
        <v>147</v>
      </c>
      <c r="AF268" s="1">
        <v>151.80000000000001</v>
      </c>
    </row>
    <row r="269" spans="1:32" x14ac:dyDescent="0.3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f t="shared" si="8"/>
        <v>1951</v>
      </c>
      <c r="R269" s="1">
        <v>182.4</v>
      </c>
      <c r="S269" s="1">
        <v>154.69999999999999</v>
      </c>
      <c r="T269" s="1">
        <v>150</v>
      </c>
      <c r="U269" s="1">
        <v>154.1</v>
      </c>
      <c r="V269" s="1" t="s">
        <v>32</v>
      </c>
      <c r="W269" s="1">
        <v>144.9</v>
      </c>
      <c r="X269" s="1">
        <v>151.69999999999999</v>
      </c>
      <c r="Y269" s="1">
        <v>158.19999999999999</v>
      </c>
      <c r="Z269" s="1">
        <v>141.4</v>
      </c>
      <c r="AA269" s="1"/>
      <c r="AB269" s="1">
        <v>153.19999999999999</v>
      </c>
      <c r="AC269" s="1">
        <v>161.80000000000001</v>
      </c>
      <c r="AD269" s="1">
        <v>151.19999999999999</v>
      </c>
      <c r="AE269" s="1">
        <v>151.69999999999999</v>
      </c>
      <c r="AF269" s="1">
        <v>152.69999999999999</v>
      </c>
    </row>
    <row r="270" spans="1:32" x14ac:dyDescent="0.3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f t="shared" si="8"/>
        <v>1994.9999999999998</v>
      </c>
      <c r="R270" s="1">
        <v>186.7</v>
      </c>
      <c r="S270" s="1">
        <v>149.1</v>
      </c>
      <c r="T270" s="1">
        <v>136.6</v>
      </c>
      <c r="U270" s="1">
        <v>147.19999999999999</v>
      </c>
      <c r="V270" s="1">
        <v>154.69999999999999</v>
      </c>
      <c r="W270" s="1">
        <v>137.1</v>
      </c>
      <c r="X270" s="1">
        <v>140.4</v>
      </c>
      <c r="Y270" s="1">
        <v>148.1</v>
      </c>
      <c r="Z270" s="1">
        <v>129.30000000000001</v>
      </c>
      <c r="AA270" s="1"/>
      <c r="AB270" s="1">
        <v>144.5</v>
      </c>
      <c r="AC270" s="1">
        <v>152.5</v>
      </c>
      <c r="AD270" s="1">
        <v>152.19999999999999</v>
      </c>
      <c r="AE270" s="1">
        <v>142</v>
      </c>
      <c r="AF270" s="1">
        <v>150.80000000000001</v>
      </c>
    </row>
    <row r="271" spans="1:32" x14ac:dyDescent="0.3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f t="shared" si="8"/>
        <v>1966.8000000000002</v>
      </c>
      <c r="R271" s="1">
        <v>183.5</v>
      </c>
      <c r="S271" s="1">
        <v>152.5</v>
      </c>
      <c r="T271" s="1">
        <v>144.4</v>
      </c>
      <c r="U271" s="1">
        <v>151.4</v>
      </c>
      <c r="V271" s="1">
        <v>154.69999999999999</v>
      </c>
      <c r="W271" s="1">
        <v>141.9</v>
      </c>
      <c r="X271" s="1">
        <v>146.4</v>
      </c>
      <c r="Y271" s="1">
        <v>154.4</v>
      </c>
      <c r="Z271" s="1">
        <v>135</v>
      </c>
      <c r="AA271" s="1"/>
      <c r="AB271" s="1">
        <v>148.30000000000001</v>
      </c>
      <c r="AC271" s="1">
        <v>156.4</v>
      </c>
      <c r="AD271" s="1">
        <v>151.6</v>
      </c>
      <c r="AE271" s="1">
        <v>147</v>
      </c>
      <c r="AF271" s="1">
        <v>151.80000000000001</v>
      </c>
    </row>
    <row r="272" spans="1:32" x14ac:dyDescent="0.3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f t="shared" si="8"/>
        <v>1978.6</v>
      </c>
      <c r="R272" s="1">
        <v>180.9</v>
      </c>
      <c r="S272" s="1">
        <v>155.1</v>
      </c>
      <c r="T272" s="1">
        <v>149.30000000000001</v>
      </c>
      <c r="U272" s="1">
        <v>154.30000000000001</v>
      </c>
      <c r="V272" s="1" t="s">
        <v>32</v>
      </c>
      <c r="W272" s="1">
        <v>145.80000000000001</v>
      </c>
      <c r="X272" s="1">
        <v>151.9</v>
      </c>
      <c r="Y272" s="1">
        <v>158.80000000000001</v>
      </c>
      <c r="Z272" s="1">
        <v>143.6</v>
      </c>
      <c r="AA272" s="1"/>
      <c r="AB272" s="1">
        <v>152.19999999999999</v>
      </c>
      <c r="AC272" s="1">
        <v>162.69999999999999</v>
      </c>
      <c r="AD272" s="1">
        <v>153.6</v>
      </c>
      <c r="AE272" s="1">
        <v>153</v>
      </c>
      <c r="AF272" s="1">
        <v>154.69999999999999</v>
      </c>
    </row>
    <row r="273" spans="1:32" x14ac:dyDescent="0.3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f t="shared" si="8"/>
        <v>2024.8999999999999</v>
      </c>
      <c r="R273" s="1">
        <v>187.2</v>
      </c>
      <c r="S273" s="1">
        <v>150</v>
      </c>
      <c r="T273" s="1">
        <v>135.19999999999999</v>
      </c>
      <c r="U273" s="1">
        <v>147.80000000000001</v>
      </c>
      <c r="V273" s="1">
        <v>155.5</v>
      </c>
      <c r="W273" s="1">
        <v>138.30000000000001</v>
      </c>
      <c r="X273" s="1">
        <v>144.5</v>
      </c>
      <c r="Y273" s="1">
        <v>148.69999999999999</v>
      </c>
      <c r="Z273" s="1">
        <v>133.9</v>
      </c>
      <c r="AA273" s="1"/>
      <c r="AB273" s="1">
        <v>141.19999999999999</v>
      </c>
      <c r="AC273" s="1">
        <v>155.5</v>
      </c>
      <c r="AD273" s="1">
        <v>155.19999999999999</v>
      </c>
      <c r="AE273" s="1">
        <v>144.80000000000001</v>
      </c>
      <c r="AF273" s="1">
        <v>152.9</v>
      </c>
    </row>
    <row r="274" spans="1:32" x14ac:dyDescent="0.3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f t="shared" si="8"/>
        <v>1995.1999999999998</v>
      </c>
      <c r="R274" s="1">
        <v>182.6</v>
      </c>
      <c r="S274" s="1">
        <v>153.1</v>
      </c>
      <c r="T274" s="1">
        <v>143.4</v>
      </c>
      <c r="U274" s="1">
        <v>151.69999999999999</v>
      </c>
      <c r="V274" s="1">
        <v>155.5</v>
      </c>
      <c r="W274" s="1">
        <v>143</v>
      </c>
      <c r="X274" s="1">
        <v>148.4</v>
      </c>
      <c r="Y274" s="1">
        <v>155</v>
      </c>
      <c r="Z274" s="1">
        <v>138.5</v>
      </c>
      <c r="AA274" s="1"/>
      <c r="AB274" s="1">
        <v>146</v>
      </c>
      <c r="AC274" s="1">
        <v>158.5</v>
      </c>
      <c r="AD274" s="1">
        <v>154.30000000000001</v>
      </c>
      <c r="AE274" s="1">
        <v>149</v>
      </c>
      <c r="AF274" s="1">
        <v>153.9</v>
      </c>
    </row>
    <row r="275" spans="1:32" x14ac:dyDescent="0.3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f t="shared" si="8"/>
        <v>1987.3999999999999</v>
      </c>
      <c r="R275" s="1">
        <v>182.9</v>
      </c>
      <c r="S275" s="1">
        <v>155.4</v>
      </c>
      <c r="T275" s="1">
        <v>149.9</v>
      </c>
      <c r="U275" s="1">
        <v>154.6</v>
      </c>
      <c r="V275" s="1" t="s">
        <v>32</v>
      </c>
      <c r="W275" s="1">
        <v>146.4</v>
      </c>
      <c r="X275" s="1">
        <v>151.6</v>
      </c>
      <c r="Y275" s="1">
        <v>159.1</v>
      </c>
      <c r="Z275" s="1">
        <v>144.6</v>
      </c>
      <c r="AA275" s="1"/>
      <c r="AB275" s="1">
        <v>152.80000000000001</v>
      </c>
      <c r="AC275" s="1">
        <v>161.1</v>
      </c>
      <c r="AD275" s="1">
        <v>157.4</v>
      </c>
      <c r="AE275" s="1">
        <v>153.69999999999999</v>
      </c>
      <c r="AF275" s="1">
        <v>155.4</v>
      </c>
    </row>
    <row r="276" spans="1:32" x14ac:dyDescent="0.3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f t="shared" si="8"/>
        <v>2041.6000000000001</v>
      </c>
      <c r="R276" s="1">
        <v>188.7</v>
      </c>
      <c r="S276" s="1">
        <v>150.19999999999999</v>
      </c>
      <c r="T276" s="1">
        <v>136.30000000000001</v>
      </c>
      <c r="U276" s="1">
        <v>148.1</v>
      </c>
      <c r="V276" s="1">
        <v>156.30000000000001</v>
      </c>
      <c r="W276" s="1">
        <v>137.19999999999999</v>
      </c>
      <c r="X276" s="1">
        <v>145.4</v>
      </c>
      <c r="Y276" s="1">
        <v>150</v>
      </c>
      <c r="Z276" s="1">
        <v>135.1</v>
      </c>
      <c r="AA276" s="1"/>
      <c r="AB276" s="1">
        <v>141.80000000000001</v>
      </c>
      <c r="AC276" s="1">
        <v>154.9</v>
      </c>
      <c r="AD276" s="1">
        <v>159.80000000000001</v>
      </c>
      <c r="AE276" s="1">
        <v>146</v>
      </c>
      <c r="AF276" s="1">
        <v>154</v>
      </c>
    </row>
    <row r="277" spans="1:32" x14ac:dyDescent="0.3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f t="shared" si="8"/>
        <v>2007</v>
      </c>
      <c r="R277" s="1">
        <v>184.4</v>
      </c>
      <c r="S277" s="1">
        <v>153.4</v>
      </c>
      <c r="T277" s="1">
        <v>144.30000000000001</v>
      </c>
      <c r="U277" s="1">
        <v>152</v>
      </c>
      <c r="V277" s="1">
        <v>156.30000000000001</v>
      </c>
      <c r="W277" s="1">
        <v>142.9</v>
      </c>
      <c r="X277" s="1">
        <v>148.69999999999999</v>
      </c>
      <c r="Y277" s="1">
        <v>155.6</v>
      </c>
      <c r="Z277" s="1">
        <v>139.6</v>
      </c>
      <c r="AA277" s="1"/>
      <c r="AB277" s="1">
        <v>146.6</v>
      </c>
      <c r="AC277" s="1">
        <v>157.5</v>
      </c>
      <c r="AD277" s="1">
        <v>158.4</v>
      </c>
      <c r="AE277" s="1">
        <v>150</v>
      </c>
      <c r="AF277" s="1">
        <v>154.69999999999999</v>
      </c>
    </row>
    <row r="278" spans="1:32" x14ac:dyDescent="0.3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f t="shared" si="8"/>
        <v>2030.9</v>
      </c>
      <c r="R278" s="1">
        <v>182.7</v>
      </c>
      <c r="S278" s="1">
        <v>155.69999999999999</v>
      </c>
      <c r="T278" s="1">
        <v>150.6</v>
      </c>
      <c r="U278" s="1">
        <v>155</v>
      </c>
      <c r="V278" s="1" t="s">
        <v>32</v>
      </c>
      <c r="W278" s="1">
        <v>146.80000000000001</v>
      </c>
      <c r="X278" s="1">
        <v>152</v>
      </c>
      <c r="Y278" s="1">
        <v>159.5</v>
      </c>
      <c r="Z278" s="1">
        <v>146.4</v>
      </c>
      <c r="AA278" s="1"/>
      <c r="AB278" s="1">
        <v>152.4</v>
      </c>
      <c r="AC278" s="1">
        <v>162.5</v>
      </c>
      <c r="AD278" s="1">
        <v>156.19999999999999</v>
      </c>
      <c r="AE278" s="1">
        <v>154.30000000000001</v>
      </c>
      <c r="AF278" s="1">
        <v>157.5</v>
      </c>
    </row>
    <row r="279" spans="1:32" x14ac:dyDescent="0.3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f t="shared" si="8"/>
        <v>2080.1999999999998</v>
      </c>
      <c r="R279" s="1">
        <v>188.7</v>
      </c>
      <c r="S279" s="1">
        <v>150.5</v>
      </c>
      <c r="T279" s="1">
        <v>136.1</v>
      </c>
      <c r="U279" s="1">
        <v>148.30000000000001</v>
      </c>
      <c r="V279" s="1">
        <v>156.5</v>
      </c>
      <c r="W279" s="1">
        <v>137.1</v>
      </c>
      <c r="X279" s="1">
        <v>145.1</v>
      </c>
      <c r="Y279" s="1">
        <v>151</v>
      </c>
      <c r="Z279" s="1">
        <v>135.4</v>
      </c>
      <c r="AA279" s="1"/>
      <c r="AB279" s="1">
        <v>142</v>
      </c>
      <c r="AC279" s="1">
        <v>155.69999999999999</v>
      </c>
      <c r="AD279" s="1">
        <v>158.1</v>
      </c>
      <c r="AE279" s="1">
        <v>146.19999999999999</v>
      </c>
      <c r="AF279" s="1">
        <v>155.19999999999999</v>
      </c>
    </row>
    <row r="280" spans="1:32" x14ac:dyDescent="0.3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f t="shared" si="8"/>
        <v>2048.6000000000004</v>
      </c>
      <c r="R280" s="1">
        <v>184.3</v>
      </c>
      <c r="S280" s="1">
        <v>153.69999999999999</v>
      </c>
      <c r="T280" s="1">
        <v>144.6</v>
      </c>
      <c r="U280" s="1">
        <v>152.30000000000001</v>
      </c>
      <c r="V280" s="1">
        <v>156.5</v>
      </c>
      <c r="W280" s="1">
        <v>143.1</v>
      </c>
      <c r="X280" s="1">
        <v>148.69999999999999</v>
      </c>
      <c r="Y280" s="1">
        <v>156.30000000000001</v>
      </c>
      <c r="Z280" s="1">
        <v>140.6</v>
      </c>
      <c r="AA280" s="1"/>
      <c r="AB280" s="1">
        <v>146.5</v>
      </c>
      <c r="AC280" s="1">
        <v>158.5</v>
      </c>
      <c r="AD280" s="1">
        <v>157</v>
      </c>
      <c r="AE280" s="1">
        <v>150.4</v>
      </c>
      <c r="AF280" s="1">
        <v>156.4</v>
      </c>
    </row>
    <row r="281" spans="1:32" x14ac:dyDescent="0.3">
      <c r="A281" s="1" t="s">
        <v>30</v>
      </c>
      <c r="B281" s="1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f t="shared" si="8"/>
        <v>2082.4</v>
      </c>
      <c r="R281" s="1">
        <v>183.4</v>
      </c>
      <c r="S281" s="1">
        <v>156.30000000000001</v>
      </c>
      <c r="T281" s="1">
        <v>151</v>
      </c>
      <c r="U281" s="1">
        <v>155.5</v>
      </c>
      <c r="V281" s="1" t="s">
        <v>32</v>
      </c>
      <c r="W281" s="1">
        <v>147.5</v>
      </c>
      <c r="X281" s="1">
        <v>152.80000000000001</v>
      </c>
      <c r="Y281" s="1">
        <v>160.4</v>
      </c>
      <c r="Z281" s="1">
        <v>146.1</v>
      </c>
      <c r="AA281" s="1"/>
      <c r="AB281" s="1">
        <v>153.6</v>
      </c>
      <c r="AC281" s="1">
        <v>161.6</v>
      </c>
      <c r="AD281" s="1">
        <v>156.19999999999999</v>
      </c>
      <c r="AE281" s="1">
        <v>154.5</v>
      </c>
      <c r="AF281" s="1">
        <v>159.80000000000001</v>
      </c>
    </row>
    <row r="282" spans="1:32" x14ac:dyDescent="0.3">
      <c r="A282" s="1" t="s">
        <v>33</v>
      </c>
      <c r="B282" s="1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f t="shared" si="8"/>
        <v>2120.6999999999998</v>
      </c>
      <c r="R282" s="1">
        <v>188.8</v>
      </c>
      <c r="S282" s="1">
        <v>151.1</v>
      </c>
      <c r="T282" s="1">
        <v>136.4</v>
      </c>
      <c r="U282" s="1">
        <v>148.80000000000001</v>
      </c>
      <c r="V282" s="1">
        <v>158</v>
      </c>
      <c r="W282" s="1">
        <v>137.30000000000001</v>
      </c>
      <c r="X282" s="1">
        <v>145.1</v>
      </c>
      <c r="Y282" s="1">
        <v>152</v>
      </c>
      <c r="Z282" s="1">
        <v>135.19999999999999</v>
      </c>
      <c r="AA282" s="1"/>
      <c r="AB282" s="1">
        <v>144.4</v>
      </c>
      <c r="AC282" s="1">
        <v>156.4</v>
      </c>
      <c r="AD282" s="1">
        <v>157.9</v>
      </c>
      <c r="AE282" s="1">
        <v>146.6</v>
      </c>
      <c r="AF282" s="1">
        <v>156.69999999999999</v>
      </c>
    </row>
    <row r="283" spans="1:32" x14ac:dyDescent="0.3">
      <c r="A283" s="1" t="s">
        <v>34</v>
      </c>
      <c r="B283" s="1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f t="shared" si="8"/>
        <v>2095.6</v>
      </c>
      <c r="R283" s="1">
        <v>184.8</v>
      </c>
      <c r="S283" s="1">
        <v>154.30000000000001</v>
      </c>
      <c r="T283" s="1">
        <v>144.9</v>
      </c>
      <c r="U283" s="1">
        <v>152.80000000000001</v>
      </c>
      <c r="V283" s="1">
        <v>158</v>
      </c>
      <c r="W283" s="1">
        <v>143.6</v>
      </c>
      <c r="X283" s="1">
        <v>149.19999999999999</v>
      </c>
      <c r="Y283" s="1">
        <v>157.19999999999999</v>
      </c>
      <c r="Z283" s="1">
        <v>140.4</v>
      </c>
      <c r="AA283" s="1"/>
      <c r="AB283" s="1">
        <v>148.4</v>
      </c>
      <c r="AC283" s="1">
        <v>158.6</v>
      </c>
      <c r="AD283" s="1">
        <v>156.9</v>
      </c>
      <c r="AE283" s="1">
        <v>150.69999999999999</v>
      </c>
      <c r="AF283" s="1">
        <v>158.4</v>
      </c>
    </row>
    <row r="284" spans="1:32" x14ac:dyDescent="0.3">
      <c r="A284" s="1" t="s">
        <v>30</v>
      </c>
      <c r="B284" s="1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f t="shared" si="8"/>
        <v>2100.5</v>
      </c>
      <c r="R284" s="1">
        <v>183.6</v>
      </c>
      <c r="S284" s="1">
        <v>157</v>
      </c>
      <c r="T284" s="1">
        <v>151.6</v>
      </c>
      <c r="U284" s="1">
        <v>156.30000000000001</v>
      </c>
      <c r="V284" s="1" t="s">
        <v>32</v>
      </c>
      <c r="W284" s="1">
        <v>148.69999999999999</v>
      </c>
      <c r="X284" s="1">
        <v>153.4</v>
      </c>
      <c r="Y284" s="1">
        <v>161.6</v>
      </c>
      <c r="Z284" s="1">
        <v>146.4</v>
      </c>
      <c r="AA284" s="1"/>
      <c r="AB284" s="1">
        <v>153.9</v>
      </c>
      <c r="AC284" s="1">
        <v>162.9</v>
      </c>
      <c r="AD284" s="1">
        <v>156.6</v>
      </c>
      <c r="AE284" s="1">
        <v>155.19999999999999</v>
      </c>
      <c r="AF284" s="1">
        <v>160.69999999999999</v>
      </c>
    </row>
    <row r="285" spans="1:32" x14ac:dyDescent="0.3">
      <c r="A285" s="1" t="s">
        <v>33</v>
      </c>
      <c r="B285" s="1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f t="shared" si="8"/>
        <v>2125.4</v>
      </c>
      <c r="R285" s="1">
        <v>190.2</v>
      </c>
      <c r="S285" s="1">
        <v>151.9</v>
      </c>
      <c r="T285" s="1">
        <v>136.69999999999999</v>
      </c>
      <c r="U285" s="1">
        <v>149.6</v>
      </c>
      <c r="V285" s="1">
        <v>158.4</v>
      </c>
      <c r="W285" s="1">
        <v>137.9</v>
      </c>
      <c r="X285" s="1">
        <v>145.5</v>
      </c>
      <c r="Y285" s="1">
        <v>152.9</v>
      </c>
      <c r="Z285" s="1">
        <v>135.5</v>
      </c>
      <c r="AA285" s="1"/>
      <c r="AB285" s="1">
        <v>144.30000000000001</v>
      </c>
      <c r="AC285" s="1">
        <v>156.9</v>
      </c>
      <c r="AD285" s="1">
        <v>157.9</v>
      </c>
      <c r="AE285" s="1">
        <v>146.9</v>
      </c>
      <c r="AF285" s="1">
        <v>156.9</v>
      </c>
    </row>
    <row r="286" spans="1:32" x14ac:dyDescent="0.3">
      <c r="A286" s="1" t="s">
        <v>34</v>
      </c>
      <c r="B286" s="1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f t="shared" si="8"/>
        <v>2109.1</v>
      </c>
      <c r="R286" s="1">
        <v>185.4</v>
      </c>
      <c r="S286" s="1">
        <v>155</v>
      </c>
      <c r="T286" s="1">
        <v>145.4</v>
      </c>
      <c r="U286" s="1">
        <v>153.6</v>
      </c>
      <c r="V286" s="1">
        <v>158.4</v>
      </c>
      <c r="W286" s="1">
        <v>144.6</v>
      </c>
      <c r="X286" s="1">
        <v>149.69999999999999</v>
      </c>
      <c r="Y286" s="1">
        <v>158.30000000000001</v>
      </c>
      <c r="Z286" s="1">
        <v>140.69999999999999</v>
      </c>
      <c r="AA286" s="1"/>
      <c r="AB286" s="1">
        <v>148.5</v>
      </c>
      <c r="AC286" s="1">
        <v>159.4</v>
      </c>
      <c r="AD286" s="1">
        <v>157.1</v>
      </c>
      <c r="AE286" s="1">
        <v>151.19999999999999</v>
      </c>
      <c r="AF286" s="1">
        <v>158.9</v>
      </c>
    </row>
    <row r="287" spans="1:32" x14ac:dyDescent="0.3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f t="shared" si="8"/>
        <v>2065.6999999999998</v>
      </c>
      <c r="R287" s="1">
        <v>184.6</v>
      </c>
      <c r="S287" s="1">
        <v>157.5</v>
      </c>
      <c r="T287" s="1">
        <v>152.4</v>
      </c>
      <c r="U287" s="1">
        <v>156.80000000000001</v>
      </c>
      <c r="V287" s="1" t="s">
        <v>32</v>
      </c>
      <c r="W287" s="1">
        <v>150.9</v>
      </c>
      <c r="X287" s="1">
        <v>153.9</v>
      </c>
      <c r="Y287" s="1">
        <v>162.5</v>
      </c>
      <c r="Z287" s="1">
        <v>147.5</v>
      </c>
      <c r="AA287" s="1"/>
      <c r="AB287" s="1">
        <v>155.1</v>
      </c>
      <c r="AC287" s="1">
        <v>163.5</v>
      </c>
      <c r="AD287" s="1">
        <v>156.19999999999999</v>
      </c>
      <c r="AE287" s="1">
        <v>155.9</v>
      </c>
      <c r="AF287" s="1">
        <v>158.5</v>
      </c>
    </row>
    <row r="288" spans="1:32" x14ac:dyDescent="0.3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f t="shared" si="8"/>
        <v>2097</v>
      </c>
      <c r="R288" s="1">
        <v>191.8</v>
      </c>
      <c r="S288" s="1">
        <v>152.5</v>
      </c>
      <c r="T288" s="1">
        <v>137.30000000000001</v>
      </c>
      <c r="U288" s="1">
        <v>150.19999999999999</v>
      </c>
      <c r="V288" s="1">
        <v>157.69999999999999</v>
      </c>
      <c r="W288" s="1">
        <v>142.9</v>
      </c>
      <c r="X288" s="1">
        <v>145.69999999999999</v>
      </c>
      <c r="Y288" s="1">
        <v>154.1</v>
      </c>
      <c r="Z288" s="1">
        <v>136.9</v>
      </c>
      <c r="AA288" s="1"/>
      <c r="AB288" s="1">
        <v>145.4</v>
      </c>
      <c r="AC288" s="1">
        <v>156.1</v>
      </c>
      <c r="AD288" s="1">
        <v>157.69999999999999</v>
      </c>
      <c r="AE288" s="1">
        <v>147.6</v>
      </c>
      <c r="AF288" s="1">
        <v>156</v>
      </c>
    </row>
    <row r="289" spans="1:32" x14ac:dyDescent="0.3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f t="shared" si="8"/>
        <v>2076.5</v>
      </c>
      <c r="R289" s="1">
        <v>186.5</v>
      </c>
      <c r="S289" s="1">
        <v>155.5</v>
      </c>
      <c r="T289" s="1">
        <v>146.1</v>
      </c>
      <c r="U289" s="1">
        <v>154.19999999999999</v>
      </c>
      <c r="V289" s="1">
        <v>157.69999999999999</v>
      </c>
      <c r="W289" s="1">
        <v>147.9</v>
      </c>
      <c r="X289" s="1">
        <v>150</v>
      </c>
      <c r="Y289" s="1">
        <v>159.30000000000001</v>
      </c>
      <c r="Z289" s="1">
        <v>141.9</v>
      </c>
      <c r="AA289" s="1"/>
      <c r="AB289" s="1">
        <v>149.6</v>
      </c>
      <c r="AC289" s="1">
        <v>159.19999999999999</v>
      </c>
      <c r="AD289" s="1">
        <v>156.80000000000001</v>
      </c>
      <c r="AE289" s="1">
        <v>151.9</v>
      </c>
      <c r="AF289" s="1">
        <v>157.30000000000001</v>
      </c>
    </row>
    <row r="290" spans="1:32" x14ac:dyDescent="0.3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f t="shared" si="8"/>
        <v>2025.3</v>
      </c>
      <c r="R290" s="1">
        <v>186.5</v>
      </c>
      <c r="S290" s="1">
        <v>159.1</v>
      </c>
      <c r="T290" s="1">
        <v>153.9</v>
      </c>
      <c r="U290" s="1">
        <v>158.4</v>
      </c>
      <c r="V290" s="1" t="s">
        <v>32</v>
      </c>
      <c r="W290" s="1">
        <v>154.4</v>
      </c>
      <c r="X290" s="1">
        <v>154.80000000000001</v>
      </c>
      <c r="Y290" s="1">
        <v>164.3</v>
      </c>
      <c r="Z290" s="1">
        <v>150.19999999999999</v>
      </c>
      <c r="AA290" s="1"/>
      <c r="AB290" s="1">
        <v>157</v>
      </c>
      <c r="AC290" s="1">
        <v>163.6</v>
      </c>
      <c r="AD290" s="1">
        <v>155.19999999999999</v>
      </c>
      <c r="AE290" s="1">
        <v>157.19999999999999</v>
      </c>
      <c r="AF290" s="1">
        <v>156.69999999999999</v>
      </c>
    </row>
    <row r="291" spans="1:32" x14ac:dyDescent="0.3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f t="shared" si="8"/>
        <v>2066</v>
      </c>
      <c r="R291" s="1">
        <v>193.3</v>
      </c>
      <c r="S291" s="1">
        <v>154.19999999999999</v>
      </c>
      <c r="T291" s="1">
        <v>138.19999999999999</v>
      </c>
      <c r="U291" s="1">
        <v>151.80000000000001</v>
      </c>
      <c r="V291" s="1">
        <v>159.80000000000001</v>
      </c>
      <c r="W291" s="1">
        <v>149.1</v>
      </c>
      <c r="X291" s="1">
        <v>146.5</v>
      </c>
      <c r="Y291" s="1">
        <v>156.30000000000001</v>
      </c>
      <c r="Z291" s="1">
        <v>140.5</v>
      </c>
      <c r="AA291" s="1"/>
      <c r="AB291" s="1">
        <v>147.30000000000001</v>
      </c>
      <c r="AC291" s="1">
        <v>156.6</v>
      </c>
      <c r="AD291" s="1">
        <v>156.69999999999999</v>
      </c>
      <c r="AE291" s="1">
        <v>149.30000000000001</v>
      </c>
      <c r="AF291" s="1">
        <v>156.5</v>
      </c>
    </row>
    <row r="292" spans="1:32" x14ac:dyDescent="0.3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f t="shared" si="8"/>
        <v>2039.3000000000002</v>
      </c>
      <c r="R292" s="1">
        <v>188.3</v>
      </c>
      <c r="S292" s="1">
        <v>157.19999999999999</v>
      </c>
      <c r="T292" s="1">
        <v>147.4</v>
      </c>
      <c r="U292" s="1">
        <v>155.80000000000001</v>
      </c>
      <c r="V292" s="1">
        <v>159.80000000000001</v>
      </c>
      <c r="W292" s="1">
        <v>152.4</v>
      </c>
      <c r="X292" s="1">
        <v>150.9</v>
      </c>
      <c r="Y292" s="1">
        <v>161.30000000000001</v>
      </c>
      <c r="Z292" s="1">
        <v>145.1</v>
      </c>
      <c r="AA292" s="1"/>
      <c r="AB292" s="1">
        <v>151.5</v>
      </c>
      <c r="AC292" s="1">
        <v>159.5</v>
      </c>
      <c r="AD292" s="1">
        <v>155.80000000000001</v>
      </c>
      <c r="AE292" s="1">
        <v>153.4</v>
      </c>
      <c r="AF292" s="1">
        <v>156.6</v>
      </c>
    </row>
    <row r="293" spans="1:32" x14ac:dyDescent="0.3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f t="shared" si="8"/>
        <v>2025.7</v>
      </c>
      <c r="R293" s="1">
        <v>186.1</v>
      </c>
      <c r="S293" s="1">
        <v>159.6</v>
      </c>
      <c r="T293" s="1">
        <v>154.4</v>
      </c>
      <c r="U293" s="1">
        <v>158.9</v>
      </c>
      <c r="V293" s="1" t="s">
        <v>48</v>
      </c>
      <c r="W293" s="1">
        <v>156</v>
      </c>
      <c r="X293" s="1">
        <v>154.80000000000001</v>
      </c>
      <c r="Y293" s="1">
        <v>164.6</v>
      </c>
      <c r="Z293" s="1">
        <v>151.30000000000001</v>
      </c>
      <c r="AA293" s="1">
        <f t="shared" ref="AA293:AA295" si="9">X293+Z293</f>
        <v>306.10000000000002</v>
      </c>
      <c r="AB293" s="1">
        <v>157.80000000000001</v>
      </c>
      <c r="AC293" s="1">
        <v>163.80000000000001</v>
      </c>
      <c r="AD293" s="1">
        <v>153.1</v>
      </c>
      <c r="AE293" s="1">
        <v>157.30000000000001</v>
      </c>
      <c r="AF293" s="1">
        <v>156.69999999999999</v>
      </c>
    </row>
    <row r="294" spans="1:32" x14ac:dyDescent="0.3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f t="shared" si="8"/>
        <v>2064.4999999999995</v>
      </c>
      <c r="R294" s="1">
        <v>193.5</v>
      </c>
      <c r="S294" s="1">
        <v>155.1</v>
      </c>
      <c r="T294" s="1">
        <v>138.69999999999999</v>
      </c>
      <c r="U294" s="1">
        <v>152.6</v>
      </c>
      <c r="V294" s="1">
        <v>159.9</v>
      </c>
      <c r="W294" s="1">
        <v>154.80000000000001</v>
      </c>
      <c r="X294" s="1">
        <v>147.19999999999999</v>
      </c>
      <c r="Y294" s="1">
        <v>156.9</v>
      </c>
      <c r="Z294" s="1">
        <v>141.69999999999999</v>
      </c>
      <c r="AA294" s="1">
        <f t="shared" si="9"/>
        <v>288.89999999999998</v>
      </c>
      <c r="AB294" s="1">
        <v>148.6</v>
      </c>
      <c r="AC294" s="1">
        <v>157.6</v>
      </c>
      <c r="AD294" s="1">
        <v>154.9</v>
      </c>
      <c r="AE294" s="1">
        <v>150</v>
      </c>
      <c r="AF294" s="1">
        <v>156.9</v>
      </c>
    </row>
    <row r="295" spans="1:32" x14ac:dyDescent="0.3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f t="shared" si="8"/>
        <v>2039.3999999999999</v>
      </c>
      <c r="R295" s="1">
        <v>188.1</v>
      </c>
      <c r="S295" s="1">
        <v>157.80000000000001</v>
      </c>
      <c r="T295" s="1">
        <v>147.9</v>
      </c>
      <c r="U295" s="1">
        <v>156.4</v>
      </c>
      <c r="V295" s="1">
        <v>159.9</v>
      </c>
      <c r="W295" s="1">
        <v>155.5</v>
      </c>
      <c r="X295" s="1">
        <v>151.19999999999999</v>
      </c>
      <c r="Y295" s="1">
        <v>161.69999999999999</v>
      </c>
      <c r="Z295" s="1">
        <v>146.19999999999999</v>
      </c>
      <c r="AA295" s="1">
        <f t="shared" si="9"/>
        <v>297.39999999999998</v>
      </c>
      <c r="AB295" s="1">
        <v>152.6</v>
      </c>
      <c r="AC295" s="1">
        <v>160.19999999999999</v>
      </c>
      <c r="AD295" s="1">
        <v>153.80000000000001</v>
      </c>
      <c r="AE295" s="1">
        <v>153.80000000000001</v>
      </c>
      <c r="AF295" s="1">
        <v>156.80000000000001</v>
      </c>
    </row>
    <row r="296" spans="1:32" x14ac:dyDescent="0.3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f t="shared" si="8"/>
        <v>2049.5</v>
      </c>
      <c r="R296" s="1">
        <v>186.8</v>
      </c>
      <c r="S296" s="1">
        <v>160.69999999999999</v>
      </c>
      <c r="T296" s="1">
        <v>155.1</v>
      </c>
      <c r="U296" s="1">
        <v>159.9</v>
      </c>
      <c r="V296" s="1" t="s">
        <v>48</v>
      </c>
      <c r="W296" s="1">
        <v>156</v>
      </c>
      <c r="X296" s="1">
        <v>155.5</v>
      </c>
      <c r="Y296" s="1">
        <v>165.3</v>
      </c>
      <c r="Z296" s="1">
        <v>151.69999999999999</v>
      </c>
      <c r="AA296" s="1"/>
      <c r="AB296" s="1">
        <v>158.6</v>
      </c>
      <c r="AC296" s="1">
        <v>164.1</v>
      </c>
      <c r="AD296" s="1">
        <v>154.6</v>
      </c>
      <c r="AE296" s="1">
        <v>158</v>
      </c>
      <c r="AF296" s="1">
        <v>157.6</v>
      </c>
    </row>
    <row r="297" spans="1:32" x14ac:dyDescent="0.3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f t="shared" si="8"/>
        <v>2089.6</v>
      </c>
      <c r="R297" s="1">
        <v>194.4</v>
      </c>
      <c r="S297" s="1">
        <v>155.9</v>
      </c>
      <c r="T297" s="1">
        <v>139.30000000000001</v>
      </c>
      <c r="U297" s="1">
        <v>153.4</v>
      </c>
      <c r="V297" s="1">
        <v>161.4</v>
      </c>
      <c r="W297" s="1">
        <v>154.9</v>
      </c>
      <c r="X297" s="1">
        <v>147.6</v>
      </c>
      <c r="Y297" s="1">
        <v>157.5</v>
      </c>
      <c r="Z297" s="1">
        <v>142.1</v>
      </c>
      <c r="AA297" s="1"/>
      <c r="AB297" s="1">
        <v>149.1</v>
      </c>
      <c r="AC297" s="1">
        <v>157.6</v>
      </c>
      <c r="AD297" s="1">
        <v>156.6</v>
      </c>
      <c r="AE297" s="1">
        <v>150.5</v>
      </c>
      <c r="AF297" s="1">
        <v>158</v>
      </c>
    </row>
    <row r="298" spans="1:32" x14ac:dyDescent="0.3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f t="shared" si="8"/>
        <v>2064.1</v>
      </c>
      <c r="R298" s="1">
        <v>188.8</v>
      </c>
      <c r="S298" s="1">
        <v>158.80000000000001</v>
      </c>
      <c r="T298" s="1">
        <v>148.5</v>
      </c>
      <c r="U298" s="1">
        <v>157.30000000000001</v>
      </c>
      <c r="V298" s="1">
        <v>161.4</v>
      </c>
      <c r="W298" s="1">
        <v>155.6</v>
      </c>
      <c r="X298" s="1">
        <v>151.80000000000001</v>
      </c>
      <c r="Y298" s="1">
        <v>162.30000000000001</v>
      </c>
      <c r="Z298" s="1">
        <v>146.6</v>
      </c>
      <c r="AA298" s="1"/>
      <c r="AB298" s="1">
        <v>153.19999999999999</v>
      </c>
      <c r="AC298" s="1">
        <v>160.30000000000001</v>
      </c>
      <c r="AD298" s="1">
        <v>155.4</v>
      </c>
      <c r="AE298" s="1">
        <v>154.4</v>
      </c>
      <c r="AF298" s="1">
        <v>157.80000000000001</v>
      </c>
    </row>
    <row r="299" spans="1:32" x14ac:dyDescent="0.3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f t="shared" si="8"/>
        <v>2095.2999999999997</v>
      </c>
      <c r="R299" s="1">
        <v>189.6</v>
      </c>
      <c r="S299" s="1">
        <v>165.3</v>
      </c>
      <c r="T299" s="1">
        <v>160.6</v>
      </c>
      <c r="U299" s="1">
        <v>164.5</v>
      </c>
      <c r="V299" s="1" t="s">
        <v>32</v>
      </c>
      <c r="W299" s="1">
        <v>161.69999999999999</v>
      </c>
      <c r="X299" s="1">
        <v>158.80000000000001</v>
      </c>
      <c r="Y299" s="1">
        <v>169.1</v>
      </c>
      <c r="Z299" s="1">
        <v>153.19999999999999</v>
      </c>
      <c r="AA299" s="1"/>
      <c r="AB299" s="1">
        <v>160</v>
      </c>
      <c r="AC299" s="1">
        <v>167.6</v>
      </c>
      <c r="AD299" s="1">
        <v>159.30000000000001</v>
      </c>
      <c r="AE299" s="1">
        <v>161.1</v>
      </c>
      <c r="AF299" s="1">
        <v>161.1</v>
      </c>
    </row>
    <row r="300" spans="1:32" x14ac:dyDescent="0.3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f t="shared" si="8"/>
        <v>2124.7000000000003</v>
      </c>
      <c r="R300" s="1">
        <v>198.2</v>
      </c>
      <c r="S300" s="1">
        <v>156.5</v>
      </c>
      <c r="T300" s="1">
        <v>140.19999999999999</v>
      </c>
      <c r="U300" s="1">
        <v>154.1</v>
      </c>
      <c r="V300" s="1">
        <v>161.6</v>
      </c>
      <c r="W300" s="1">
        <v>155.5</v>
      </c>
      <c r="X300" s="1">
        <v>150.1</v>
      </c>
      <c r="Y300" s="1">
        <v>160.4</v>
      </c>
      <c r="Z300" s="1">
        <v>145</v>
      </c>
      <c r="AA300" s="1"/>
      <c r="AB300" s="1">
        <v>152.6</v>
      </c>
      <c r="AC300" s="1">
        <v>156.6</v>
      </c>
      <c r="AD300" s="1">
        <v>157.5</v>
      </c>
      <c r="AE300" s="1">
        <v>152.30000000000001</v>
      </c>
      <c r="AF300" s="1">
        <v>159.5</v>
      </c>
    </row>
    <row r="301" spans="1:32" x14ac:dyDescent="0.3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f t="shared" si="8"/>
        <v>2105.7000000000003</v>
      </c>
      <c r="R301" s="1">
        <v>191.9</v>
      </c>
      <c r="S301" s="1">
        <v>161.80000000000001</v>
      </c>
      <c r="T301" s="1">
        <v>152.1</v>
      </c>
      <c r="U301" s="1">
        <v>160.4</v>
      </c>
      <c r="V301" s="1">
        <v>161.6</v>
      </c>
      <c r="W301" s="1">
        <v>159.4</v>
      </c>
      <c r="X301" s="1">
        <v>154.69999999999999</v>
      </c>
      <c r="Y301" s="1">
        <v>165.8</v>
      </c>
      <c r="Z301" s="1">
        <v>148.9</v>
      </c>
      <c r="AA301" s="1"/>
      <c r="AB301" s="1">
        <v>155.80000000000001</v>
      </c>
      <c r="AC301" s="1">
        <v>161.19999999999999</v>
      </c>
      <c r="AD301" s="1">
        <v>158.6</v>
      </c>
      <c r="AE301" s="1">
        <v>156.80000000000001</v>
      </c>
      <c r="AF301" s="1">
        <v>160.4</v>
      </c>
    </row>
    <row r="302" spans="1:32" x14ac:dyDescent="0.3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f t="shared" si="8"/>
        <v>2122.6</v>
      </c>
      <c r="R302" s="1">
        <v>189.1</v>
      </c>
      <c r="S302" s="1">
        <v>165.3</v>
      </c>
      <c r="T302" s="1">
        <v>159.9</v>
      </c>
      <c r="U302" s="1">
        <v>164.6</v>
      </c>
      <c r="V302" s="1" t="s">
        <v>32</v>
      </c>
      <c r="W302" s="1">
        <v>162.1</v>
      </c>
      <c r="X302" s="1">
        <v>159.19999999999999</v>
      </c>
      <c r="Y302" s="1">
        <v>169.7</v>
      </c>
      <c r="Z302" s="1">
        <v>154.19999999999999</v>
      </c>
      <c r="AA302" s="1"/>
      <c r="AB302" s="1">
        <v>160.4</v>
      </c>
      <c r="AC302" s="1">
        <v>166.8</v>
      </c>
      <c r="AD302" s="1">
        <v>159.4</v>
      </c>
      <c r="AE302" s="1">
        <v>161.5</v>
      </c>
      <c r="AF302" s="1">
        <v>162.1</v>
      </c>
    </row>
    <row r="303" spans="1:32" x14ac:dyDescent="0.3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f t="shared" si="8"/>
        <v>2154.1999999999998</v>
      </c>
      <c r="R303" s="1">
        <v>195.6</v>
      </c>
      <c r="S303" s="1">
        <v>157.30000000000001</v>
      </c>
      <c r="T303" s="1">
        <v>140.5</v>
      </c>
      <c r="U303" s="1">
        <v>154.80000000000001</v>
      </c>
      <c r="V303" s="1">
        <v>160.5</v>
      </c>
      <c r="W303" s="1">
        <v>156.1</v>
      </c>
      <c r="X303" s="1">
        <v>149.80000000000001</v>
      </c>
      <c r="Y303" s="1">
        <v>160.80000000000001</v>
      </c>
      <c r="Z303" s="1">
        <v>147.5</v>
      </c>
      <c r="AA303" s="1"/>
      <c r="AB303" s="1">
        <v>150.69999999999999</v>
      </c>
      <c r="AC303" s="1">
        <v>158.1</v>
      </c>
      <c r="AD303" s="1">
        <v>158</v>
      </c>
      <c r="AE303" s="1">
        <v>153.4</v>
      </c>
      <c r="AF303" s="1">
        <v>160.4</v>
      </c>
    </row>
    <row r="304" spans="1:32" x14ac:dyDescent="0.3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f t="shared" si="8"/>
        <v>2133.9</v>
      </c>
      <c r="R304" s="1">
        <v>190.8</v>
      </c>
      <c r="S304" s="1">
        <v>162.19999999999999</v>
      </c>
      <c r="T304" s="1">
        <v>151.80000000000001</v>
      </c>
      <c r="U304" s="1">
        <v>160.69999999999999</v>
      </c>
      <c r="V304" s="1">
        <v>160.5</v>
      </c>
      <c r="W304" s="1">
        <v>159.80000000000001</v>
      </c>
      <c r="X304" s="1">
        <v>154.80000000000001</v>
      </c>
      <c r="Y304" s="1">
        <v>166.3</v>
      </c>
      <c r="Z304" s="1">
        <v>150.69999999999999</v>
      </c>
      <c r="AA304" s="1"/>
      <c r="AB304" s="1">
        <v>154.9</v>
      </c>
      <c r="AC304" s="1">
        <v>161.69999999999999</v>
      </c>
      <c r="AD304" s="1">
        <v>158.80000000000001</v>
      </c>
      <c r="AE304" s="1">
        <v>157.6</v>
      </c>
      <c r="AF304" s="1">
        <v>161.30000000000001</v>
      </c>
    </row>
    <row r="305" spans="1:32" x14ac:dyDescent="0.3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f t="shared" si="8"/>
        <v>2132.4</v>
      </c>
      <c r="R305" s="1">
        <v>189.7</v>
      </c>
      <c r="S305" s="1">
        <v>166</v>
      </c>
      <c r="T305" s="1">
        <v>161.1</v>
      </c>
      <c r="U305" s="1">
        <v>165.3</v>
      </c>
      <c r="V305" s="1" t="s">
        <v>32</v>
      </c>
      <c r="W305" s="1">
        <v>162.5</v>
      </c>
      <c r="X305" s="1">
        <v>160.30000000000001</v>
      </c>
      <c r="Y305" s="1">
        <v>170.4</v>
      </c>
      <c r="Z305" s="1">
        <v>157.1</v>
      </c>
      <c r="AA305" s="1"/>
      <c r="AB305" s="1">
        <v>160.69999999999999</v>
      </c>
      <c r="AC305" s="1">
        <v>167.2</v>
      </c>
      <c r="AD305" s="1">
        <v>160.4</v>
      </c>
      <c r="AE305" s="1">
        <v>162.80000000000001</v>
      </c>
      <c r="AF305" s="1">
        <v>163.19999999999999</v>
      </c>
    </row>
    <row r="306" spans="1:32" x14ac:dyDescent="0.3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f t="shared" si="8"/>
        <v>2171.8000000000002</v>
      </c>
      <c r="R306" s="1">
        <v>195.5</v>
      </c>
      <c r="S306" s="1">
        <v>157.9</v>
      </c>
      <c r="T306" s="1">
        <v>141.9</v>
      </c>
      <c r="U306" s="1">
        <v>155.5</v>
      </c>
      <c r="V306" s="1">
        <v>161.5</v>
      </c>
      <c r="W306" s="1">
        <v>157.69999999999999</v>
      </c>
      <c r="X306" s="1">
        <v>150.69999999999999</v>
      </c>
      <c r="Y306" s="1">
        <v>161.5</v>
      </c>
      <c r="Z306" s="1">
        <v>149.5</v>
      </c>
      <c r="AA306" s="1"/>
      <c r="AB306" s="1">
        <v>151.19999999999999</v>
      </c>
      <c r="AC306" s="1">
        <v>160.30000000000001</v>
      </c>
      <c r="AD306" s="1">
        <v>159.6</v>
      </c>
      <c r="AE306" s="1">
        <v>155</v>
      </c>
      <c r="AF306" s="1">
        <v>161.80000000000001</v>
      </c>
    </row>
    <row r="307" spans="1:32" x14ac:dyDescent="0.3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f t="shared" si="8"/>
        <v>2147</v>
      </c>
      <c r="R307" s="1">
        <v>191.2</v>
      </c>
      <c r="S307" s="1">
        <v>162.80000000000001</v>
      </c>
      <c r="T307" s="1">
        <v>153.1</v>
      </c>
      <c r="U307" s="1">
        <v>161.4</v>
      </c>
      <c r="V307" s="1">
        <v>161.5</v>
      </c>
      <c r="W307" s="1">
        <v>160.69999999999999</v>
      </c>
      <c r="X307" s="1">
        <v>155.80000000000001</v>
      </c>
      <c r="Y307" s="1">
        <v>167</v>
      </c>
      <c r="Z307" s="1">
        <v>153.1</v>
      </c>
      <c r="AA307" s="1"/>
      <c r="AB307" s="1">
        <v>155.30000000000001</v>
      </c>
      <c r="AC307" s="1">
        <v>163.19999999999999</v>
      </c>
      <c r="AD307" s="1">
        <v>160.1</v>
      </c>
      <c r="AE307" s="1">
        <v>159</v>
      </c>
      <c r="AF307" s="1">
        <v>162.5</v>
      </c>
    </row>
    <row r="308" spans="1:32" x14ac:dyDescent="0.3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f t="shared" si="8"/>
        <v>2130.8000000000002</v>
      </c>
      <c r="R308" s="1">
        <v>190.2</v>
      </c>
      <c r="S308" s="1">
        <v>167</v>
      </c>
      <c r="T308" s="1">
        <v>162.6</v>
      </c>
      <c r="U308" s="1">
        <v>166.3</v>
      </c>
      <c r="V308" s="1" t="s">
        <v>32</v>
      </c>
      <c r="W308" s="1">
        <v>163.1</v>
      </c>
      <c r="X308" s="1">
        <v>160.9</v>
      </c>
      <c r="Y308" s="1">
        <v>171.1</v>
      </c>
      <c r="Z308" s="1">
        <v>157.69999999999999</v>
      </c>
      <c r="AA308" s="1"/>
      <c r="AB308" s="1">
        <v>161.1</v>
      </c>
      <c r="AC308" s="1">
        <v>167.5</v>
      </c>
      <c r="AD308" s="1">
        <v>160.30000000000001</v>
      </c>
      <c r="AE308" s="1">
        <v>163.30000000000001</v>
      </c>
      <c r="AF308" s="1">
        <v>163.6</v>
      </c>
    </row>
    <row r="309" spans="1:32" x14ac:dyDescent="0.3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f t="shared" si="8"/>
        <v>2157.9</v>
      </c>
      <c r="R309" s="1">
        <v>196.5</v>
      </c>
      <c r="S309" s="1">
        <v>159.80000000000001</v>
      </c>
      <c r="T309" s="1">
        <v>143.6</v>
      </c>
      <c r="U309" s="1">
        <v>157.30000000000001</v>
      </c>
      <c r="V309" s="1">
        <v>162.1</v>
      </c>
      <c r="W309" s="1">
        <v>160.69999999999999</v>
      </c>
      <c r="X309" s="1">
        <v>153.19999999999999</v>
      </c>
      <c r="Y309" s="1">
        <v>162.80000000000001</v>
      </c>
      <c r="Z309" s="1">
        <v>150.4</v>
      </c>
      <c r="AA309" s="1"/>
      <c r="AB309" s="1">
        <v>153.69999999999999</v>
      </c>
      <c r="AC309" s="1">
        <v>160.4</v>
      </c>
      <c r="AD309" s="1">
        <v>159.6</v>
      </c>
      <c r="AE309" s="1">
        <v>156</v>
      </c>
      <c r="AF309" s="1">
        <v>162.30000000000001</v>
      </c>
    </row>
    <row r="310" spans="1:32" x14ac:dyDescent="0.3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f t="shared" si="8"/>
        <v>2142</v>
      </c>
      <c r="R310" s="1">
        <v>192.1</v>
      </c>
      <c r="S310" s="1">
        <v>164.5</v>
      </c>
      <c r="T310" s="1">
        <v>155.30000000000001</v>
      </c>
      <c r="U310" s="1">
        <v>163.19999999999999</v>
      </c>
      <c r="V310" s="1">
        <v>162.1</v>
      </c>
      <c r="W310" s="1">
        <v>162.6</v>
      </c>
      <c r="X310" s="1">
        <v>157.5</v>
      </c>
      <c r="Y310" s="1">
        <v>168.4</v>
      </c>
      <c r="Z310" s="1">
        <v>154</v>
      </c>
      <c r="AA310" s="1"/>
      <c r="AB310" s="1">
        <v>157.6</v>
      </c>
      <c r="AC310" s="1">
        <v>163.80000000000001</v>
      </c>
      <c r="AD310" s="1">
        <v>160</v>
      </c>
      <c r="AE310" s="1">
        <v>160</v>
      </c>
      <c r="AF310" s="1">
        <v>163.19999999999999</v>
      </c>
    </row>
    <row r="311" spans="1:32" x14ac:dyDescent="0.3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f t="shared" si="8"/>
        <v>2133.6</v>
      </c>
      <c r="R311" s="1">
        <v>190.5</v>
      </c>
      <c r="S311" s="1">
        <v>167.7</v>
      </c>
      <c r="T311" s="1">
        <v>163.6</v>
      </c>
      <c r="U311" s="1">
        <v>167.1</v>
      </c>
      <c r="V311" s="1" t="s">
        <v>32</v>
      </c>
      <c r="W311" s="1">
        <v>163.69999999999999</v>
      </c>
      <c r="X311" s="1">
        <v>161.30000000000001</v>
      </c>
      <c r="Y311" s="1">
        <v>171.9</v>
      </c>
      <c r="Z311" s="1">
        <v>157.80000000000001</v>
      </c>
      <c r="AA311" s="1"/>
      <c r="AB311" s="1">
        <v>162.69999999999999</v>
      </c>
      <c r="AC311" s="1">
        <v>168.5</v>
      </c>
      <c r="AD311" s="1">
        <v>160.19999999999999</v>
      </c>
      <c r="AE311" s="1">
        <v>163.80000000000001</v>
      </c>
      <c r="AF311" s="1">
        <v>164</v>
      </c>
    </row>
    <row r="312" spans="1:32" x14ac:dyDescent="0.3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f t="shared" si="8"/>
        <v>2157.9</v>
      </c>
      <c r="R312" s="1">
        <v>196.5</v>
      </c>
      <c r="S312" s="1">
        <v>159.80000000000001</v>
      </c>
      <c r="T312" s="1">
        <v>143.6</v>
      </c>
      <c r="U312" s="1">
        <v>157.4</v>
      </c>
      <c r="V312" s="1">
        <v>162.1</v>
      </c>
      <c r="W312" s="1">
        <v>160.80000000000001</v>
      </c>
      <c r="X312" s="1">
        <v>153.30000000000001</v>
      </c>
      <c r="Y312" s="1">
        <v>162.80000000000001</v>
      </c>
      <c r="Z312" s="1">
        <v>150.5</v>
      </c>
      <c r="AA312" s="1"/>
      <c r="AB312" s="1">
        <v>153.9</v>
      </c>
      <c r="AC312" s="1">
        <v>160.30000000000001</v>
      </c>
      <c r="AD312" s="1">
        <v>159.6</v>
      </c>
      <c r="AE312" s="1">
        <v>156</v>
      </c>
      <c r="AF312" s="1">
        <v>162.30000000000001</v>
      </c>
    </row>
    <row r="313" spans="1:32" x14ac:dyDescent="0.3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f t="shared" si="8"/>
        <v>2142</v>
      </c>
      <c r="R313" s="1">
        <v>192.1</v>
      </c>
      <c r="S313" s="1">
        <v>164.6</v>
      </c>
      <c r="T313" s="1">
        <v>155.30000000000001</v>
      </c>
      <c r="U313" s="1">
        <v>163.30000000000001</v>
      </c>
      <c r="V313" s="1">
        <v>162.1</v>
      </c>
      <c r="W313" s="1">
        <v>162.6</v>
      </c>
      <c r="X313" s="1">
        <v>157.5</v>
      </c>
      <c r="Y313" s="1">
        <v>168.4</v>
      </c>
      <c r="Z313" s="1">
        <v>154</v>
      </c>
      <c r="AA313" s="1"/>
      <c r="AB313" s="1">
        <v>157.69999999999999</v>
      </c>
      <c r="AC313" s="1">
        <v>163.69999999999999</v>
      </c>
      <c r="AD313" s="1">
        <v>160</v>
      </c>
      <c r="AE313" s="1">
        <v>160</v>
      </c>
      <c r="AF313" s="1">
        <v>163.19999999999999</v>
      </c>
    </row>
    <row r="314" spans="1:32" x14ac:dyDescent="0.3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f t="shared" si="8"/>
        <v>2164.1999999999998</v>
      </c>
      <c r="R314" s="1">
        <v>191.2</v>
      </c>
      <c r="S314" s="1">
        <v>168.9</v>
      </c>
      <c r="T314" s="1">
        <v>164.8</v>
      </c>
      <c r="U314" s="1">
        <v>168.3</v>
      </c>
      <c r="V314" s="1" t="s">
        <v>32</v>
      </c>
      <c r="W314" s="1">
        <v>165.5</v>
      </c>
      <c r="X314" s="1">
        <v>162</v>
      </c>
      <c r="Y314" s="1">
        <v>172.5</v>
      </c>
      <c r="Z314" s="1">
        <v>159.5</v>
      </c>
      <c r="AA314" s="1"/>
      <c r="AB314" s="1">
        <v>163.19999999999999</v>
      </c>
      <c r="AC314" s="1">
        <v>169</v>
      </c>
      <c r="AD314" s="1">
        <v>161.1</v>
      </c>
      <c r="AE314" s="1">
        <v>164.7</v>
      </c>
      <c r="AF314" s="1">
        <v>166.3</v>
      </c>
    </row>
    <row r="315" spans="1:32" x14ac:dyDescent="0.3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f t="shared" si="8"/>
        <v>2198.4000000000005</v>
      </c>
      <c r="R315" s="1">
        <v>197</v>
      </c>
      <c r="S315" s="1">
        <v>160.80000000000001</v>
      </c>
      <c r="T315" s="1">
        <v>144.4</v>
      </c>
      <c r="U315" s="1">
        <v>158.30000000000001</v>
      </c>
      <c r="V315" s="1">
        <v>163.6</v>
      </c>
      <c r="W315" s="1">
        <v>162.19999999999999</v>
      </c>
      <c r="X315" s="1">
        <v>154.30000000000001</v>
      </c>
      <c r="Y315" s="1">
        <v>163.5</v>
      </c>
      <c r="Z315" s="1">
        <v>152.19999999999999</v>
      </c>
      <c r="AA315" s="1"/>
      <c r="AB315" s="1">
        <v>155.1</v>
      </c>
      <c r="AC315" s="1">
        <v>160.30000000000001</v>
      </c>
      <c r="AD315" s="1">
        <v>160.30000000000001</v>
      </c>
      <c r="AE315" s="1">
        <v>157</v>
      </c>
      <c r="AF315" s="1">
        <v>164.6</v>
      </c>
    </row>
    <row r="316" spans="1:32" x14ac:dyDescent="0.3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f t="shared" si="8"/>
        <v>2175.5</v>
      </c>
      <c r="R316" s="1">
        <v>192.7</v>
      </c>
      <c r="S316" s="1">
        <v>165.7</v>
      </c>
      <c r="T316" s="1">
        <v>156.30000000000001</v>
      </c>
      <c r="U316" s="1">
        <v>164.3</v>
      </c>
      <c r="V316" s="1">
        <v>163.6</v>
      </c>
      <c r="W316" s="1">
        <v>164.2</v>
      </c>
      <c r="X316" s="1">
        <v>158.4</v>
      </c>
      <c r="Y316" s="1">
        <v>169.1</v>
      </c>
      <c r="Z316" s="1">
        <v>155.69999999999999</v>
      </c>
      <c r="AA316" s="1"/>
      <c r="AB316" s="1">
        <v>158.6</v>
      </c>
      <c r="AC316" s="1">
        <v>163.9</v>
      </c>
      <c r="AD316" s="1">
        <v>160.80000000000001</v>
      </c>
      <c r="AE316" s="1">
        <v>161</v>
      </c>
      <c r="AF316" s="1">
        <v>165.5</v>
      </c>
    </row>
    <row r="317" spans="1:32" x14ac:dyDescent="0.3">
      <c r="A317" s="1" t="s">
        <v>30</v>
      </c>
      <c r="B317" s="1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f t="shared" si="8"/>
        <v>2182</v>
      </c>
      <c r="R317" s="1">
        <v>191.4</v>
      </c>
      <c r="S317" s="1">
        <v>170.4</v>
      </c>
      <c r="T317" s="1">
        <v>166</v>
      </c>
      <c r="U317" s="1">
        <v>169.8</v>
      </c>
      <c r="V317" s="1" t="s">
        <v>32</v>
      </c>
      <c r="W317" s="1">
        <v>165.3</v>
      </c>
      <c r="X317" s="1">
        <v>162.9</v>
      </c>
      <c r="Y317" s="1">
        <v>173.4</v>
      </c>
      <c r="Z317" s="1">
        <v>158.9</v>
      </c>
      <c r="AA317" s="1"/>
      <c r="AB317" s="1">
        <v>163.80000000000001</v>
      </c>
      <c r="AC317" s="1">
        <v>169.3</v>
      </c>
      <c r="AD317" s="1">
        <v>162.4</v>
      </c>
      <c r="AE317" s="1">
        <v>165.2</v>
      </c>
      <c r="AF317" s="1">
        <v>167.6</v>
      </c>
    </row>
    <row r="318" spans="1:32" x14ac:dyDescent="0.3">
      <c r="A318" s="1" t="s">
        <v>33</v>
      </c>
      <c r="B318" s="1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f t="shared" si="8"/>
        <v>2217.8999999999996</v>
      </c>
      <c r="R318" s="1">
        <v>197</v>
      </c>
      <c r="S318" s="1">
        <v>162.30000000000001</v>
      </c>
      <c r="T318" s="1">
        <v>145.30000000000001</v>
      </c>
      <c r="U318" s="1">
        <v>159.69999999999999</v>
      </c>
      <c r="V318" s="1">
        <v>164.2</v>
      </c>
      <c r="W318" s="1">
        <v>161.6</v>
      </c>
      <c r="X318" s="1">
        <v>155.19999999999999</v>
      </c>
      <c r="Y318" s="1">
        <v>164.2</v>
      </c>
      <c r="Z318" s="1">
        <v>151.19999999999999</v>
      </c>
      <c r="AA318" s="1"/>
      <c r="AB318" s="1">
        <v>156.69999999999999</v>
      </c>
      <c r="AC318" s="1">
        <v>160.80000000000001</v>
      </c>
      <c r="AD318" s="1">
        <v>161.80000000000001</v>
      </c>
      <c r="AE318" s="1">
        <v>157.30000000000001</v>
      </c>
      <c r="AF318" s="1">
        <v>165.6</v>
      </c>
    </row>
    <row r="319" spans="1:32" x14ac:dyDescent="0.3">
      <c r="A319" s="1" t="s">
        <v>34</v>
      </c>
      <c r="B319" s="1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f t="shared" si="8"/>
        <v>2194.1</v>
      </c>
      <c r="R319" s="1">
        <v>192.9</v>
      </c>
      <c r="S319" s="1">
        <v>167.2</v>
      </c>
      <c r="T319" s="1">
        <v>157.4</v>
      </c>
      <c r="U319" s="1">
        <v>165.8</v>
      </c>
      <c r="V319" s="1">
        <v>164.2</v>
      </c>
      <c r="W319" s="1">
        <v>163.9</v>
      </c>
      <c r="X319" s="1">
        <v>159.30000000000001</v>
      </c>
      <c r="Y319" s="1">
        <v>169.9</v>
      </c>
      <c r="Z319" s="1">
        <v>154.80000000000001</v>
      </c>
      <c r="AA319" s="1"/>
      <c r="AB319" s="1">
        <v>159.80000000000001</v>
      </c>
      <c r="AC319" s="1">
        <v>164.3</v>
      </c>
      <c r="AD319" s="1">
        <v>162.19999999999999</v>
      </c>
      <c r="AE319" s="1">
        <v>161.4</v>
      </c>
      <c r="AF319" s="1">
        <v>166.7</v>
      </c>
    </row>
    <row r="320" spans="1:32" x14ac:dyDescent="0.3">
      <c r="A320" s="1" t="s">
        <v>30</v>
      </c>
      <c r="B320" s="1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f t="shared" si="8"/>
        <v>2168.1999999999998</v>
      </c>
      <c r="R320" s="1">
        <v>190.8</v>
      </c>
      <c r="S320" s="1">
        <v>171.8</v>
      </c>
      <c r="T320" s="1">
        <v>167.3</v>
      </c>
      <c r="U320" s="1">
        <v>171.2</v>
      </c>
      <c r="V320" s="1" t="s">
        <v>32</v>
      </c>
      <c r="W320" s="1">
        <v>165.6</v>
      </c>
      <c r="X320" s="1">
        <v>163.9</v>
      </c>
      <c r="Y320" s="1">
        <v>174</v>
      </c>
      <c r="Z320" s="1">
        <v>160.1</v>
      </c>
      <c r="AA320" s="1"/>
      <c r="AB320" s="1">
        <v>164.5</v>
      </c>
      <c r="AC320" s="1">
        <v>169.7</v>
      </c>
      <c r="AD320" s="1">
        <v>162.80000000000001</v>
      </c>
      <c r="AE320" s="1">
        <v>166</v>
      </c>
      <c r="AF320" s="1">
        <v>167</v>
      </c>
    </row>
    <row r="321" spans="1:32" x14ac:dyDescent="0.3">
      <c r="A321" s="1" t="s">
        <v>33</v>
      </c>
      <c r="B321" s="1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f t="shared" si="8"/>
        <v>2206.3000000000002</v>
      </c>
      <c r="R321" s="1">
        <v>196.8</v>
      </c>
      <c r="S321" s="1">
        <v>163.30000000000001</v>
      </c>
      <c r="T321" s="1">
        <v>146.69999999999999</v>
      </c>
      <c r="U321" s="1">
        <v>160.69999999999999</v>
      </c>
      <c r="V321" s="1">
        <v>163.4</v>
      </c>
      <c r="W321" s="1">
        <v>161.69999999999999</v>
      </c>
      <c r="X321" s="1">
        <v>156</v>
      </c>
      <c r="Y321" s="1">
        <v>165.1</v>
      </c>
      <c r="Z321" s="1">
        <v>151.80000000000001</v>
      </c>
      <c r="AA321" s="1"/>
      <c r="AB321" s="1">
        <v>157.6</v>
      </c>
      <c r="AC321" s="1">
        <v>160.6</v>
      </c>
      <c r="AD321" s="1">
        <v>162.4</v>
      </c>
      <c r="AE321" s="1">
        <v>157.80000000000001</v>
      </c>
      <c r="AF321" s="1">
        <v>165.2</v>
      </c>
    </row>
    <row r="322" spans="1:32" x14ac:dyDescent="0.3">
      <c r="A322" s="1" t="s">
        <v>34</v>
      </c>
      <c r="B322" s="1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f t="shared" si="8"/>
        <v>2180.9</v>
      </c>
      <c r="R322" s="1">
        <v>192.4</v>
      </c>
      <c r="S322" s="1">
        <v>168.5</v>
      </c>
      <c r="T322" s="1">
        <v>158.69999999999999</v>
      </c>
      <c r="U322" s="1">
        <v>167</v>
      </c>
      <c r="V322" s="1">
        <v>163.4</v>
      </c>
      <c r="W322" s="1">
        <v>164.1</v>
      </c>
      <c r="X322" s="1">
        <v>160.19999999999999</v>
      </c>
      <c r="Y322" s="1">
        <v>170.6</v>
      </c>
      <c r="Z322" s="1">
        <v>155.69999999999999</v>
      </c>
      <c r="AA322" s="1"/>
      <c r="AB322" s="1">
        <v>160.6</v>
      </c>
      <c r="AC322" s="1">
        <v>164.4</v>
      </c>
      <c r="AD322" s="1">
        <v>162.6</v>
      </c>
      <c r="AE322" s="1">
        <v>162</v>
      </c>
      <c r="AF322" s="1">
        <v>166.2</v>
      </c>
    </row>
    <row r="323" spans="1:32" x14ac:dyDescent="0.3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f t="shared" ref="Q323:Q373" si="10">SUM(D323:P323)</f>
        <v>2153</v>
      </c>
      <c r="R323" s="1">
        <v>190.7</v>
      </c>
      <c r="S323" s="1">
        <v>173.2</v>
      </c>
      <c r="T323" s="1">
        <v>169.3</v>
      </c>
      <c r="U323" s="1">
        <v>172.7</v>
      </c>
      <c r="V323" s="1" t="s">
        <v>32</v>
      </c>
      <c r="W323" s="1">
        <v>165.8</v>
      </c>
      <c r="X323" s="1">
        <v>164.9</v>
      </c>
      <c r="Y323" s="1">
        <v>174.7</v>
      </c>
      <c r="Z323" s="1">
        <v>160.80000000000001</v>
      </c>
      <c r="AA323" s="1"/>
      <c r="AB323" s="1">
        <v>164.9</v>
      </c>
      <c r="AC323" s="1">
        <v>169.9</v>
      </c>
      <c r="AD323" s="1">
        <v>163.19999999999999</v>
      </c>
      <c r="AE323" s="1">
        <v>166.6</v>
      </c>
      <c r="AF323" s="1">
        <v>166.4</v>
      </c>
    </row>
    <row r="324" spans="1:32" x14ac:dyDescent="0.3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f t="shared" si="10"/>
        <v>2186.6999999999998</v>
      </c>
      <c r="R324" s="1">
        <v>196.4</v>
      </c>
      <c r="S324" s="1">
        <v>164.7</v>
      </c>
      <c r="T324" s="1">
        <v>148.5</v>
      </c>
      <c r="U324" s="1">
        <v>162.19999999999999</v>
      </c>
      <c r="V324" s="1">
        <v>164.5</v>
      </c>
      <c r="W324" s="1">
        <v>161.6</v>
      </c>
      <c r="X324" s="1">
        <v>156.80000000000001</v>
      </c>
      <c r="Y324" s="1">
        <v>166.1</v>
      </c>
      <c r="Z324" s="1">
        <v>152.69999999999999</v>
      </c>
      <c r="AA324" s="1"/>
      <c r="AB324" s="1">
        <v>158.4</v>
      </c>
      <c r="AC324" s="1">
        <v>161</v>
      </c>
      <c r="AD324" s="1">
        <v>162.80000000000001</v>
      </c>
      <c r="AE324" s="1">
        <v>158.6</v>
      </c>
      <c r="AF324" s="1">
        <v>165</v>
      </c>
    </row>
    <row r="325" spans="1:32" x14ac:dyDescent="0.3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f t="shared" si="10"/>
        <v>2164.1999999999998</v>
      </c>
      <c r="R325" s="1">
        <v>192.2</v>
      </c>
      <c r="S325" s="1">
        <v>169.9</v>
      </c>
      <c r="T325" s="1">
        <v>160.69999999999999</v>
      </c>
      <c r="U325" s="1">
        <v>168.5</v>
      </c>
      <c r="V325" s="1">
        <v>164.5</v>
      </c>
      <c r="W325" s="1">
        <v>164.2</v>
      </c>
      <c r="X325" s="1">
        <v>161.1</v>
      </c>
      <c r="Y325" s="1">
        <v>171.4</v>
      </c>
      <c r="Z325" s="1">
        <v>156.5</v>
      </c>
      <c r="AA325" s="1"/>
      <c r="AB325" s="1">
        <v>161.19999999999999</v>
      </c>
      <c r="AC325" s="1">
        <v>164.7</v>
      </c>
      <c r="AD325" s="1">
        <v>163</v>
      </c>
      <c r="AE325" s="1">
        <v>162.69999999999999</v>
      </c>
      <c r="AF325" s="1">
        <v>165.7</v>
      </c>
    </row>
    <row r="326" spans="1:32" x14ac:dyDescent="0.3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f t="shared" si="10"/>
        <v>2150.4</v>
      </c>
      <c r="R326" s="1">
        <v>191.5</v>
      </c>
      <c r="S326" s="1">
        <v>174.1</v>
      </c>
      <c r="T326" s="1">
        <v>171</v>
      </c>
      <c r="U326" s="1">
        <v>173.7</v>
      </c>
      <c r="V326" s="1" t="s">
        <v>32</v>
      </c>
      <c r="W326" s="1">
        <v>167.4</v>
      </c>
      <c r="X326" s="1">
        <v>165.7</v>
      </c>
      <c r="Y326" s="1">
        <v>175.3</v>
      </c>
      <c r="Z326" s="1">
        <v>161.19999999999999</v>
      </c>
      <c r="AA326" s="1"/>
      <c r="AB326" s="1">
        <v>165.5</v>
      </c>
      <c r="AC326" s="1">
        <v>170.3</v>
      </c>
      <c r="AD326" s="1">
        <v>164.5</v>
      </c>
      <c r="AE326" s="1">
        <v>167.3</v>
      </c>
      <c r="AF326" s="1">
        <v>166.7</v>
      </c>
    </row>
    <row r="327" spans="1:32" x14ac:dyDescent="0.3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f t="shared" si="10"/>
        <v>2183.5</v>
      </c>
      <c r="R327" s="1">
        <v>196.5</v>
      </c>
      <c r="S327" s="1">
        <v>165.7</v>
      </c>
      <c r="T327" s="1">
        <v>150.4</v>
      </c>
      <c r="U327" s="1">
        <v>163.4</v>
      </c>
      <c r="V327" s="1">
        <v>165.5</v>
      </c>
      <c r="W327" s="1">
        <v>163</v>
      </c>
      <c r="X327" s="1">
        <v>157.4</v>
      </c>
      <c r="Y327" s="1">
        <v>167.2</v>
      </c>
      <c r="Z327" s="1">
        <v>153.1</v>
      </c>
      <c r="AA327" s="1"/>
      <c r="AB327" s="1">
        <v>159.5</v>
      </c>
      <c r="AC327" s="1">
        <v>162</v>
      </c>
      <c r="AD327" s="1">
        <v>164.2</v>
      </c>
      <c r="AE327" s="1">
        <v>159.4</v>
      </c>
      <c r="AF327" s="1">
        <v>165.5</v>
      </c>
    </row>
    <row r="328" spans="1:32" x14ac:dyDescent="0.3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f t="shared" si="10"/>
        <v>2161.2000000000003</v>
      </c>
      <c r="R328" s="1">
        <v>192.8</v>
      </c>
      <c r="S328" s="1">
        <v>170.8</v>
      </c>
      <c r="T328" s="1">
        <v>162.4</v>
      </c>
      <c r="U328" s="1">
        <v>169.6</v>
      </c>
      <c r="V328" s="1">
        <v>165.5</v>
      </c>
      <c r="W328" s="1">
        <v>165.7</v>
      </c>
      <c r="X328" s="1">
        <v>161.80000000000001</v>
      </c>
      <c r="Y328" s="1">
        <v>172.2</v>
      </c>
      <c r="Z328" s="1">
        <v>156.9</v>
      </c>
      <c r="AA328" s="1"/>
      <c r="AB328" s="1">
        <v>162.1</v>
      </c>
      <c r="AC328" s="1">
        <v>165.4</v>
      </c>
      <c r="AD328" s="1">
        <v>164.4</v>
      </c>
      <c r="AE328" s="1">
        <v>163.5</v>
      </c>
      <c r="AF328" s="1">
        <v>166.1</v>
      </c>
    </row>
    <row r="329" spans="1:32" x14ac:dyDescent="0.3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f t="shared" si="10"/>
        <v>2179.1000000000004</v>
      </c>
      <c r="R329" s="1">
        <v>192.3</v>
      </c>
      <c r="S329" s="1">
        <v>175.4</v>
      </c>
      <c r="T329" s="1">
        <v>173.2</v>
      </c>
      <c r="U329" s="1">
        <v>175.1</v>
      </c>
      <c r="V329" s="1" t="s">
        <v>32</v>
      </c>
      <c r="W329" s="1">
        <v>168.9</v>
      </c>
      <c r="X329" s="1">
        <v>166.5</v>
      </c>
      <c r="Y329" s="1">
        <v>176</v>
      </c>
      <c r="Z329" s="1">
        <v>162</v>
      </c>
      <c r="AA329" s="1">
        <f t="shared" ref="AA329:AA331" si="11">X329+Z329</f>
        <v>328.5</v>
      </c>
      <c r="AB329" s="1">
        <v>166.6</v>
      </c>
      <c r="AC329" s="1">
        <v>170.6</v>
      </c>
      <c r="AD329" s="1">
        <v>167.4</v>
      </c>
      <c r="AE329" s="1">
        <v>168.3</v>
      </c>
      <c r="AF329" s="1">
        <v>168.7</v>
      </c>
    </row>
    <row r="330" spans="1:32" x14ac:dyDescent="0.3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f t="shared" si="10"/>
        <v>2196.3000000000002</v>
      </c>
      <c r="R330" s="1">
        <v>197.5</v>
      </c>
      <c r="S330" s="1">
        <v>167.1</v>
      </c>
      <c r="T330" s="1">
        <v>152.6</v>
      </c>
      <c r="U330" s="1">
        <v>164.9</v>
      </c>
      <c r="V330" s="1">
        <v>165.3</v>
      </c>
      <c r="W330" s="1">
        <v>164.5</v>
      </c>
      <c r="X330" s="1">
        <v>158.6</v>
      </c>
      <c r="Y330" s="1">
        <v>168.2</v>
      </c>
      <c r="Z330" s="1">
        <v>154.19999999999999</v>
      </c>
      <c r="AA330" s="1">
        <f t="shared" si="11"/>
        <v>312.79999999999995</v>
      </c>
      <c r="AB330" s="1">
        <v>160.80000000000001</v>
      </c>
      <c r="AC330" s="1">
        <v>162.69999999999999</v>
      </c>
      <c r="AD330" s="1">
        <v>166.8</v>
      </c>
      <c r="AE330" s="1">
        <v>160.6</v>
      </c>
      <c r="AF330" s="1">
        <v>166.5</v>
      </c>
    </row>
    <row r="331" spans="1:32" x14ac:dyDescent="0.3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f t="shared" si="10"/>
        <v>2184.2000000000003</v>
      </c>
      <c r="R331" s="1">
        <v>193.7</v>
      </c>
      <c r="S331" s="1">
        <v>172.1</v>
      </c>
      <c r="T331" s="1">
        <v>164.6</v>
      </c>
      <c r="U331" s="1">
        <v>171.1</v>
      </c>
      <c r="V331" s="1">
        <v>165.3</v>
      </c>
      <c r="W331" s="1">
        <v>167.2</v>
      </c>
      <c r="X331" s="1">
        <v>162.80000000000001</v>
      </c>
      <c r="Y331" s="1">
        <v>173</v>
      </c>
      <c r="Z331" s="1">
        <v>157.9</v>
      </c>
      <c r="AA331" s="1">
        <f t="shared" si="11"/>
        <v>320.70000000000005</v>
      </c>
      <c r="AB331" s="1">
        <v>163.30000000000001</v>
      </c>
      <c r="AC331" s="1">
        <v>166</v>
      </c>
      <c r="AD331" s="1">
        <v>167.2</v>
      </c>
      <c r="AE331" s="1">
        <v>164.6</v>
      </c>
      <c r="AF331" s="1">
        <v>167.7</v>
      </c>
    </row>
    <row r="332" spans="1:32" x14ac:dyDescent="0.3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f t="shared" si="10"/>
        <v>2206.6</v>
      </c>
      <c r="R332" s="1">
        <v>192.8</v>
      </c>
      <c r="S332" s="1">
        <v>177.5</v>
      </c>
      <c r="T332" s="1">
        <v>175.1</v>
      </c>
      <c r="U332" s="1">
        <v>177.1</v>
      </c>
      <c r="V332" s="1" t="s">
        <v>32</v>
      </c>
      <c r="W332" s="1">
        <v>173.3</v>
      </c>
      <c r="X332" s="1">
        <v>167.7</v>
      </c>
      <c r="Y332" s="1">
        <v>177</v>
      </c>
      <c r="Z332" s="1">
        <v>166.2</v>
      </c>
      <c r="AA332" s="1"/>
      <c r="AB332" s="1">
        <v>167.2</v>
      </c>
      <c r="AC332" s="1">
        <v>170.9</v>
      </c>
      <c r="AD332" s="1">
        <v>169</v>
      </c>
      <c r="AE332" s="1">
        <v>170.2</v>
      </c>
      <c r="AF332" s="1">
        <v>170.8</v>
      </c>
    </row>
    <row r="333" spans="1:32" x14ac:dyDescent="0.3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f t="shared" si="10"/>
        <v>2230.4</v>
      </c>
      <c r="R333" s="1">
        <v>197.1</v>
      </c>
      <c r="S333" s="1">
        <v>168.4</v>
      </c>
      <c r="T333" s="1">
        <v>154.5</v>
      </c>
      <c r="U333" s="1">
        <v>166.3</v>
      </c>
      <c r="V333" s="1">
        <v>167</v>
      </c>
      <c r="W333" s="1">
        <v>170.5</v>
      </c>
      <c r="X333" s="1">
        <v>159.80000000000001</v>
      </c>
      <c r="Y333" s="1">
        <v>169</v>
      </c>
      <c r="Z333" s="1">
        <v>159.30000000000001</v>
      </c>
      <c r="AA333" s="1"/>
      <c r="AB333" s="1">
        <v>162.19999999999999</v>
      </c>
      <c r="AC333" s="1">
        <v>164</v>
      </c>
      <c r="AD333" s="1">
        <v>168.4</v>
      </c>
      <c r="AE333" s="1">
        <v>163.1</v>
      </c>
      <c r="AF333" s="1">
        <v>169.2</v>
      </c>
    </row>
    <row r="334" spans="1:32" x14ac:dyDescent="0.3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f t="shared" si="10"/>
        <v>2214.3000000000002</v>
      </c>
      <c r="R334" s="1">
        <v>193.9</v>
      </c>
      <c r="S334" s="1">
        <v>173.9</v>
      </c>
      <c r="T334" s="1">
        <v>166.5</v>
      </c>
      <c r="U334" s="1">
        <v>172.8</v>
      </c>
      <c r="V334" s="1">
        <v>167</v>
      </c>
      <c r="W334" s="1">
        <v>172.2</v>
      </c>
      <c r="X334" s="1">
        <v>164</v>
      </c>
      <c r="Y334" s="1">
        <v>174</v>
      </c>
      <c r="Z334" s="1">
        <v>162.6</v>
      </c>
      <c r="AA334" s="1"/>
      <c r="AB334" s="1">
        <v>164.4</v>
      </c>
      <c r="AC334" s="1">
        <v>166.9</v>
      </c>
      <c r="AD334" s="1">
        <v>168.8</v>
      </c>
      <c r="AE334" s="1">
        <v>166.8</v>
      </c>
      <c r="AF334" s="1">
        <v>170.1</v>
      </c>
    </row>
    <row r="335" spans="1:32" x14ac:dyDescent="0.3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f t="shared" si="10"/>
        <v>2226.8000000000002</v>
      </c>
      <c r="R335" s="1">
        <v>192.9</v>
      </c>
      <c r="S335" s="1">
        <v>179.3</v>
      </c>
      <c r="T335" s="1">
        <v>177.2</v>
      </c>
      <c r="U335" s="1">
        <v>179</v>
      </c>
      <c r="V335" s="1" t="s">
        <v>32</v>
      </c>
      <c r="W335" s="1">
        <v>175.3</v>
      </c>
      <c r="X335" s="1">
        <v>168.9</v>
      </c>
      <c r="Y335" s="1">
        <v>177.7</v>
      </c>
      <c r="Z335" s="1">
        <v>167.1</v>
      </c>
      <c r="AA335" s="1"/>
      <c r="AB335" s="1">
        <v>167.6</v>
      </c>
      <c r="AC335" s="1">
        <v>171.8</v>
      </c>
      <c r="AD335" s="1">
        <v>168.5</v>
      </c>
      <c r="AE335" s="1">
        <v>170.9</v>
      </c>
      <c r="AF335" s="1">
        <v>172.5</v>
      </c>
    </row>
    <row r="336" spans="1:32" x14ac:dyDescent="0.3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f t="shared" si="10"/>
        <v>2262.2000000000003</v>
      </c>
      <c r="R336" s="1">
        <v>197.5</v>
      </c>
      <c r="S336" s="1">
        <v>170</v>
      </c>
      <c r="T336" s="1">
        <v>155.9</v>
      </c>
      <c r="U336" s="1">
        <v>167.8</v>
      </c>
      <c r="V336" s="1">
        <v>167.5</v>
      </c>
      <c r="W336" s="1">
        <v>173.5</v>
      </c>
      <c r="X336" s="1">
        <v>161.1</v>
      </c>
      <c r="Y336" s="1">
        <v>170.1</v>
      </c>
      <c r="Z336" s="1">
        <v>159.4</v>
      </c>
      <c r="AA336" s="1"/>
      <c r="AB336" s="1">
        <v>163.19999999999999</v>
      </c>
      <c r="AC336" s="1">
        <v>165.2</v>
      </c>
      <c r="AD336" s="1">
        <v>168.2</v>
      </c>
      <c r="AE336" s="1">
        <v>163.80000000000001</v>
      </c>
      <c r="AF336" s="1">
        <v>170.8</v>
      </c>
    </row>
    <row r="337" spans="1:32" x14ac:dyDescent="0.3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f t="shared" si="10"/>
        <v>2238.9000000000005</v>
      </c>
      <c r="R337" s="1">
        <v>194.1</v>
      </c>
      <c r="S337" s="1">
        <v>175.6</v>
      </c>
      <c r="T337" s="1">
        <v>168.4</v>
      </c>
      <c r="U337" s="1">
        <v>174.6</v>
      </c>
      <c r="V337" s="1">
        <v>167.5</v>
      </c>
      <c r="W337" s="1">
        <v>174.6</v>
      </c>
      <c r="X337" s="1">
        <v>165.2</v>
      </c>
      <c r="Y337" s="1">
        <v>174.8</v>
      </c>
      <c r="Z337" s="1">
        <v>163</v>
      </c>
      <c r="AA337" s="1"/>
      <c r="AB337" s="1">
        <v>165.1</v>
      </c>
      <c r="AC337" s="1">
        <v>167.9</v>
      </c>
      <c r="AD337" s="1">
        <v>168.4</v>
      </c>
      <c r="AE337" s="1">
        <v>167.5</v>
      </c>
      <c r="AF337" s="1">
        <v>171.7</v>
      </c>
    </row>
    <row r="338" spans="1:32" x14ac:dyDescent="0.3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f t="shared" si="10"/>
        <v>2248.3000000000002</v>
      </c>
      <c r="R338" s="1">
        <v>192.9</v>
      </c>
      <c r="S338" s="1">
        <v>180.7</v>
      </c>
      <c r="T338" s="1">
        <v>178.7</v>
      </c>
      <c r="U338" s="1">
        <v>180.4</v>
      </c>
      <c r="V338" s="1" t="s">
        <v>32</v>
      </c>
      <c r="W338" s="1">
        <v>176.7</v>
      </c>
      <c r="X338" s="1">
        <v>170.3</v>
      </c>
      <c r="Y338" s="1">
        <v>178.2</v>
      </c>
      <c r="Z338" s="1">
        <v>165.5</v>
      </c>
      <c r="AA338" s="1"/>
      <c r="AB338" s="1">
        <v>168</v>
      </c>
      <c r="AC338" s="1">
        <v>172.6</v>
      </c>
      <c r="AD338" s="1">
        <v>169.5</v>
      </c>
      <c r="AE338" s="1">
        <v>171</v>
      </c>
      <c r="AF338" s="1">
        <v>173.6</v>
      </c>
    </row>
    <row r="339" spans="1:32" x14ac:dyDescent="0.3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f t="shared" si="10"/>
        <v>2287.5</v>
      </c>
      <c r="R339" s="1">
        <v>198.3</v>
      </c>
      <c r="S339" s="1">
        <v>171.6</v>
      </c>
      <c r="T339" s="1">
        <v>157.4</v>
      </c>
      <c r="U339" s="1">
        <v>169.4</v>
      </c>
      <c r="V339" s="1">
        <v>166.8</v>
      </c>
      <c r="W339" s="1">
        <v>174.9</v>
      </c>
      <c r="X339" s="1">
        <v>162.1</v>
      </c>
      <c r="Y339" s="1">
        <v>170.9</v>
      </c>
      <c r="Z339" s="1">
        <v>157.19999999999999</v>
      </c>
      <c r="AA339" s="1"/>
      <c r="AB339" s="1">
        <v>164.1</v>
      </c>
      <c r="AC339" s="1">
        <v>166.5</v>
      </c>
      <c r="AD339" s="1">
        <v>169.2</v>
      </c>
      <c r="AE339" s="1">
        <v>163.80000000000001</v>
      </c>
      <c r="AF339" s="1">
        <v>171.4</v>
      </c>
    </row>
    <row r="340" spans="1:32" x14ac:dyDescent="0.3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f t="shared" si="10"/>
        <v>2261.9</v>
      </c>
      <c r="R340" s="1">
        <v>194.3</v>
      </c>
      <c r="S340" s="1">
        <v>177.1</v>
      </c>
      <c r="T340" s="1">
        <v>169.9</v>
      </c>
      <c r="U340" s="1">
        <v>176</v>
      </c>
      <c r="V340" s="1">
        <v>166.8</v>
      </c>
      <c r="W340" s="1">
        <v>176</v>
      </c>
      <c r="X340" s="1">
        <v>166.4</v>
      </c>
      <c r="Y340" s="1">
        <v>175.4</v>
      </c>
      <c r="Z340" s="1">
        <v>161.1</v>
      </c>
      <c r="AA340" s="1"/>
      <c r="AB340" s="1">
        <v>165.8</v>
      </c>
      <c r="AC340" s="1">
        <v>169</v>
      </c>
      <c r="AD340" s="1">
        <v>169.4</v>
      </c>
      <c r="AE340" s="1">
        <v>167.5</v>
      </c>
      <c r="AF340" s="1">
        <v>172.6</v>
      </c>
    </row>
    <row r="341" spans="1:32" x14ac:dyDescent="0.3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f t="shared" si="10"/>
        <v>2252.5</v>
      </c>
      <c r="R341" s="1">
        <v>193.2</v>
      </c>
      <c r="S341" s="1">
        <v>182</v>
      </c>
      <c r="T341" s="1">
        <v>180.3</v>
      </c>
      <c r="U341" s="1">
        <v>181.7</v>
      </c>
      <c r="V341" s="1" t="s">
        <v>32</v>
      </c>
      <c r="W341" s="1">
        <v>179.6</v>
      </c>
      <c r="X341" s="1">
        <v>171.3</v>
      </c>
      <c r="Y341" s="1">
        <v>178.8</v>
      </c>
      <c r="Z341" s="1">
        <v>166.3</v>
      </c>
      <c r="AA341" s="1"/>
      <c r="AB341" s="1">
        <v>168.6</v>
      </c>
      <c r="AC341" s="1">
        <v>174.7</v>
      </c>
      <c r="AD341" s="1">
        <v>169.7</v>
      </c>
      <c r="AE341" s="1">
        <v>171.8</v>
      </c>
      <c r="AF341" s="1">
        <v>174.3</v>
      </c>
    </row>
    <row r="342" spans="1:32" x14ac:dyDescent="0.3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f t="shared" si="10"/>
        <v>2291.6</v>
      </c>
      <c r="R342" s="1">
        <v>198.6</v>
      </c>
      <c r="S342" s="1">
        <v>172.7</v>
      </c>
      <c r="T342" s="1">
        <v>158.69999999999999</v>
      </c>
      <c r="U342" s="1">
        <v>170.6</v>
      </c>
      <c r="V342" s="1">
        <v>167.8</v>
      </c>
      <c r="W342" s="1">
        <v>179.5</v>
      </c>
      <c r="X342" s="1">
        <v>163.1</v>
      </c>
      <c r="Y342" s="1">
        <v>171.7</v>
      </c>
      <c r="Z342" s="1">
        <v>157.4</v>
      </c>
      <c r="AA342" s="1"/>
      <c r="AB342" s="1">
        <v>164.6</v>
      </c>
      <c r="AC342" s="1">
        <v>169.1</v>
      </c>
      <c r="AD342" s="1">
        <v>169.8</v>
      </c>
      <c r="AE342" s="1">
        <v>164.7</v>
      </c>
      <c r="AF342" s="1">
        <v>172.3</v>
      </c>
    </row>
    <row r="343" spans="1:32" x14ac:dyDescent="0.3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f t="shared" si="10"/>
        <v>2266.3000000000002</v>
      </c>
      <c r="R343" s="1">
        <v>194.6</v>
      </c>
      <c r="S343" s="1">
        <v>178.3</v>
      </c>
      <c r="T343" s="1">
        <v>171.3</v>
      </c>
      <c r="U343" s="1">
        <v>177.3</v>
      </c>
      <c r="V343" s="1">
        <v>167.8</v>
      </c>
      <c r="W343" s="1">
        <v>179.6</v>
      </c>
      <c r="X343" s="1">
        <v>167.4</v>
      </c>
      <c r="Y343" s="1">
        <v>176.1</v>
      </c>
      <c r="Z343" s="1">
        <v>161.6</v>
      </c>
      <c r="AA343" s="1"/>
      <c r="AB343" s="1">
        <v>166.3</v>
      </c>
      <c r="AC343" s="1">
        <v>171.4</v>
      </c>
      <c r="AD343" s="1">
        <v>169.7</v>
      </c>
      <c r="AE343" s="1">
        <v>168.4</v>
      </c>
      <c r="AF343" s="1">
        <v>173.4</v>
      </c>
    </row>
    <row r="344" spans="1:32" x14ac:dyDescent="0.3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f t="shared" si="10"/>
        <v>2255.7999999999997</v>
      </c>
      <c r="R344" s="1">
        <v>193.7</v>
      </c>
      <c r="S344" s="1">
        <v>183.2</v>
      </c>
      <c r="T344" s="1">
        <v>181.7</v>
      </c>
      <c r="U344" s="1">
        <v>183</v>
      </c>
      <c r="V344" s="1" t="s">
        <v>32</v>
      </c>
      <c r="W344" s="1">
        <v>179.1</v>
      </c>
      <c r="X344" s="1">
        <v>172.3</v>
      </c>
      <c r="Y344" s="1">
        <v>179.4</v>
      </c>
      <c r="Z344" s="1">
        <v>166.6</v>
      </c>
      <c r="AA344" s="1"/>
      <c r="AB344" s="1">
        <v>169.3</v>
      </c>
      <c r="AC344" s="1">
        <v>175.7</v>
      </c>
      <c r="AD344" s="1">
        <v>171.1</v>
      </c>
      <c r="AE344" s="1">
        <v>172.6</v>
      </c>
      <c r="AF344" s="1">
        <v>175.3</v>
      </c>
    </row>
    <row r="345" spans="1:32" x14ac:dyDescent="0.3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f t="shared" si="10"/>
        <v>2293.6999999999998</v>
      </c>
      <c r="R345" s="1">
        <v>198.7</v>
      </c>
      <c r="S345" s="1">
        <v>173.7</v>
      </c>
      <c r="T345" s="1">
        <v>160</v>
      </c>
      <c r="U345" s="1">
        <v>171.6</v>
      </c>
      <c r="V345" s="1">
        <v>169</v>
      </c>
      <c r="W345" s="1">
        <v>178.4</v>
      </c>
      <c r="X345" s="1">
        <v>164.2</v>
      </c>
      <c r="Y345" s="1">
        <v>172.6</v>
      </c>
      <c r="Z345" s="1">
        <v>157.69999999999999</v>
      </c>
      <c r="AA345" s="1"/>
      <c r="AB345" s="1">
        <v>165.1</v>
      </c>
      <c r="AC345" s="1">
        <v>169.9</v>
      </c>
      <c r="AD345" s="1">
        <v>171.4</v>
      </c>
      <c r="AE345" s="1">
        <v>165.4</v>
      </c>
      <c r="AF345" s="1">
        <v>173.1</v>
      </c>
    </row>
    <row r="346" spans="1:32" x14ac:dyDescent="0.3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f t="shared" si="10"/>
        <v>2269.2000000000003</v>
      </c>
      <c r="R346" s="1">
        <v>195</v>
      </c>
      <c r="S346" s="1">
        <v>179.5</v>
      </c>
      <c r="T346" s="1">
        <v>172.7</v>
      </c>
      <c r="U346" s="1">
        <v>178.5</v>
      </c>
      <c r="V346" s="1">
        <v>169</v>
      </c>
      <c r="W346" s="1">
        <v>178.8</v>
      </c>
      <c r="X346" s="1">
        <v>168.5</v>
      </c>
      <c r="Y346" s="1">
        <v>176.8</v>
      </c>
      <c r="Z346" s="1">
        <v>161.9</v>
      </c>
      <c r="AA346" s="1"/>
      <c r="AB346" s="1">
        <v>166.9</v>
      </c>
      <c r="AC346" s="1">
        <v>172.3</v>
      </c>
      <c r="AD346" s="1">
        <v>171.2</v>
      </c>
      <c r="AE346" s="1">
        <v>169.1</v>
      </c>
      <c r="AF346" s="1">
        <v>174.3</v>
      </c>
    </row>
    <row r="347" spans="1:32" x14ac:dyDescent="0.3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f t="shared" si="10"/>
        <v>2267.8000000000002</v>
      </c>
      <c r="R347" s="1">
        <v>194.5</v>
      </c>
      <c r="S347" s="1">
        <v>184.7</v>
      </c>
      <c r="T347" s="1">
        <v>183.3</v>
      </c>
      <c r="U347" s="1">
        <v>184.5</v>
      </c>
      <c r="V347" s="1" t="s">
        <v>32</v>
      </c>
      <c r="W347" s="1">
        <v>179.7</v>
      </c>
      <c r="X347" s="1">
        <v>173.6</v>
      </c>
      <c r="Y347" s="1">
        <v>180.2</v>
      </c>
      <c r="Z347" s="1">
        <v>166.9</v>
      </c>
      <c r="AA347" s="1"/>
      <c r="AB347" s="1">
        <v>170</v>
      </c>
      <c r="AC347" s="1">
        <v>176.2</v>
      </c>
      <c r="AD347" s="1">
        <v>170.8</v>
      </c>
      <c r="AE347" s="1">
        <v>173.1</v>
      </c>
      <c r="AF347" s="1">
        <v>176.4</v>
      </c>
    </row>
    <row r="348" spans="1:32" x14ac:dyDescent="0.3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f t="shared" si="10"/>
        <v>2306.4</v>
      </c>
      <c r="R348" s="1">
        <v>199.7</v>
      </c>
      <c r="S348" s="1">
        <v>175</v>
      </c>
      <c r="T348" s="1">
        <v>161.69999999999999</v>
      </c>
      <c r="U348" s="1">
        <v>173</v>
      </c>
      <c r="V348" s="1">
        <v>169.5</v>
      </c>
      <c r="W348" s="1">
        <v>179.2</v>
      </c>
      <c r="X348" s="1">
        <v>165</v>
      </c>
      <c r="Y348" s="1">
        <v>173.8</v>
      </c>
      <c r="Z348" s="1">
        <v>158.19999999999999</v>
      </c>
      <c r="AA348" s="1"/>
      <c r="AB348" s="1">
        <v>165.8</v>
      </c>
      <c r="AC348" s="1">
        <v>170.9</v>
      </c>
      <c r="AD348" s="1">
        <v>171.1</v>
      </c>
      <c r="AE348" s="1">
        <v>166.1</v>
      </c>
      <c r="AF348" s="1">
        <v>174.1</v>
      </c>
    </row>
    <row r="349" spans="1:32" x14ac:dyDescent="0.3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f t="shared" si="10"/>
        <v>2280.9</v>
      </c>
      <c r="R349" s="1">
        <v>195.9</v>
      </c>
      <c r="S349" s="1">
        <v>180.9</v>
      </c>
      <c r="T349" s="1">
        <v>174.3</v>
      </c>
      <c r="U349" s="1">
        <v>179.9</v>
      </c>
      <c r="V349" s="1">
        <v>169.5</v>
      </c>
      <c r="W349" s="1">
        <v>179.5</v>
      </c>
      <c r="X349" s="1">
        <v>169.5</v>
      </c>
      <c r="Y349" s="1">
        <v>177.8</v>
      </c>
      <c r="Z349" s="1">
        <v>162.30000000000001</v>
      </c>
      <c r="AA349" s="1"/>
      <c r="AB349" s="1">
        <v>167.6</v>
      </c>
      <c r="AC349" s="1">
        <v>173.1</v>
      </c>
      <c r="AD349" s="1">
        <v>170.9</v>
      </c>
      <c r="AE349" s="1">
        <v>169.7</v>
      </c>
      <c r="AF349" s="1">
        <v>175.3</v>
      </c>
    </row>
    <row r="350" spans="1:32" x14ac:dyDescent="0.3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f t="shared" si="10"/>
        <v>2284.5</v>
      </c>
      <c r="R350" s="1">
        <v>194.9</v>
      </c>
      <c r="S350" s="1">
        <v>186.1</v>
      </c>
      <c r="T350" s="1">
        <v>184.4</v>
      </c>
      <c r="U350" s="1">
        <v>185.9</v>
      </c>
      <c r="V350" s="1" t="s">
        <v>32</v>
      </c>
      <c r="W350" s="1">
        <v>180.8</v>
      </c>
      <c r="X350" s="1">
        <v>174.4</v>
      </c>
      <c r="Y350" s="1">
        <v>181.2</v>
      </c>
      <c r="Z350" s="1">
        <v>167.4</v>
      </c>
      <c r="AA350" s="1"/>
      <c r="AB350" s="1">
        <v>170.6</v>
      </c>
      <c r="AC350" s="1">
        <v>176.5</v>
      </c>
      <c r="AD350" s="1">
        <v>172</v>
      </c>
      <c r="AE350" s="1">
        <v>173.9</v>
      </c>
      <c r="AF350" s="1">
        <v>177.9</v>
      </c>
    </row>
    <row r="351" spans="1:32" x14ac:dyDescent="0.3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f t="shared" si="10"/>
        <v>2322.3000000000002</v>
      </c>
      <c r="R351" s="1">
        <v>200.1</v>
      </c>
      <c r="S351" s="1">
        <v>175.5</v>
      </c>
      <c r="T351" s="1">
        <v>162.6</v>
      </c>
      <c r="U351" s="1">
        <v>173.6</v>
      </c>
      <c r="V351" s="1">
        <v>171.2</v>
      </c>
      <c r="W351" s="1">
        <v>180</v>
      </c>
      <c r="X351" s="1">
        <v>166</v>
      </c>
      <c r="Y351" s="1">
        <v>174.7</v>
      </c>
      <c r="Z351" s="1">
        <v>158.80000000000001</v>
      </c>
      <c r="AA351" s="1"/>
      <c r="AB351" s="1">
        <v>166.3</v>
      </c>
      <c r="AC351" s="1">
        <v>171.2</v>
      </c>
      <c r="AD351" s="1">
        <v>172.3</v>
      </c>
      <c r="AE351" s="1">
        <v>166.8</v>
      </c>
      <c r="AF351" s="1">
        <v>175.3</v>
      </c>
    </row>
    <row r="352" spans="1:32" x14ac:dyDescent="0.3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f t="shared" si="10"/>
        <v>2297.3000000000002</v>
      </c>
      <c r="R352" s="1">
        <v>196.3</v>
      </c>
      <c r="S352" s="1">
        <v>181.9</v>
      </c>
      <c r="T352" s="1">
        <v>175.3</v>
      </c>
      <c r="U352" s="1">
        <v>181</v>
      </c>
      <c r="V352" s="1">
        <v>171.2</v>
      </c>
      <c r="W352" s="1">
        <v>180.5</v>
      </c>
      <c r="X352" s="1">
        <v>170.4</v>
      </c>
      <c r="Y352" s="1">
        <v>178.7</v>
      </c>
      <c r="Z352" s="1">
        <v>162.9</v>
      </c>
      <c r="AA352" s="1"/>
      <c r="AB352" s="1">
        <v>168.2</v>
      </c>
      <c r="AC352" s="1">
        <v>173.4</v>
      </c>
      <c r="AD352" s="1">
        <v>172.1</v>
      </c>
      <c r="AE352" s="1">
        <v>170.5</v>
      </c>
      <c r="AF352" s="1">
        <v>176.7</v>
      </c>
    </row>
    <row r="353" spans="1:32" x14ac:dyDescent="0.3">
      <c r="A353" s="1" t="s">
        <v>30</v>
      </c>
      <c r="B353" s="1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f t="shared" si="10"/>
        <v>2287.6999999999998</v>
      </c>
      <c r="R353" s="1">
        <v>195.5</v>
      </c>
      <c r="S353" s="1">
        <v>187.2</v>
      </c>
      <c r="T353" s="1">
        <v>185.2</v>
      </c>
      <c r="U353" s="1">
        <v>186.9</v>
      </c>
      <c r="V353" s="1" t="s">
        <v>32</v>
      </c>
      <c r="W353" s="1">
        <v>181.9</v>
      </c>
      <c r="X353" s="1">
        <v>175.5</v>
      </c>
      <c r="Y353" s="1">
        <v>182.3</v>
      </c>
      <c r="Z353" s="1">
        <v>167.5</v>
      </c>
      <c r="AA353" s="1"/>
      <c r="AB353" s="1">
        <v>170.8</v>
      </c>
      <c r="AC353" s="1">
        <v>176.9</v>
      </c>
      <c r="AD353" s="1">
        <v>173.4</v>
      </c>
      <c r="AE353" s="1">
        <v>174.6</v>
      </c>
      <c r="AF353" s="1">
        <v>177.8</v>
      </c>
    </row>
    <row r="354" spans="1:32" x14ac:dyDescent="0.3">
      <c r="A354" s="1" t="s">
        <v>33</v>
      </c>
      <c r="B354" s="1">
        <v>2022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f t="shared" si="10"/>
        <v>2314.4</v>
      </c>
      <c r="R354" s="1">
        <v>200.6</v>
      </c>
      <c r="S354" s="1">
        <v>176.7</v>
      </c>
      <c r="T354" s="1">
        <v>163.5</v>
      </c>
      <c r="U354" s="1">
        <v>174.7</v>
      </c>
      <c r="V354" s="1">
        <v>171.8</v>
      </c>
      <c r="W354" s="1">
        <v>180.3</v>
      </c>
      <c r="X354" s="1">
        <v>166.9</v>
      </c>
      <c r="Y354" s="1">
        <v>175.8</v>
      </c>
      <c r="Z354" s="1">
        <v>158.9</v>
      </c>
      <c r="AA354" s="1"/>
      <c r="AB354" s="1">
        <v>166.7</v>
      </c>
      <c r="AC354" s="1">
        <v>171.5</v>
      </c>
      <c r="AD354" s="1">
        <v>173.8</v>
      </c>
      <c r="AE354" s="1">
        <v>167.4</v>
      </c>
      <c r="AF354" s="1">
        <v>174.1</v>
      </c>
    </row>
    <row r="355" spans="1:32" x14ac:dyDescent="0.3">
      <c r="A355" s="1" t="s">
        <v>34</v>
      </c>
      <c r="B355" s="1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f t="shared" si="10"/>
        <v>2296.8000000000002</v>
      </c>
      <c r="R355" s="1">
        <v>196.9</v>
      </c>
      <c r="S355" s="1">
        <v>183.1</v>
      </c>
      <c r="T355" s="1">
        <v>176.2</v>
      </c>
      <c r="U355" s="1">
        <v>182.1</v>
      </c>
      <c r="V355" s="1">
        <v>171.8</v>
      </c>
      <c r="W355" s="1">
        <v>181.3</v>
      </c>
      <c r="X355" s="1">
        <v>171.4</v>
      </c>
      <c r="Y355" s="1">
        <v>179.8</v>
      </c>
      <c r="Z355" s="1">
        <v>163</v>
      </c>
      <c r="AA355" s="1"/>
      <c r="AB355" s="1">
        <v>168.5</v>
      </c>
      <c r="AC355" s="1">
        <v>173.7</v>
      </c>
      <c r="AD355" s="1">
        <v>173.6</v>
      </c>
      <c r="AE355" s="1">
        <v>171.1</v>
      </c>
      <c r="AF355" s="1">
        <v>176.5</v>
      </c>
    </row>
    <row r="356" spans="1:32" x14ac:dyDescent="0.3">
      <c r="A356" s="1" t="s">
        <v>30</v>
      </c>
      <c r="B356" s="1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f t="shared" si="10"/>
        <v>2277.1</v>
      </c>
      <c r="R356" s="1">
        <v>195.9</v>
      </c>
      <c r="S356" s="1">
        <v>188.1</v>
      </c>
      <c r="T356" s="1">
        <v>185.9</v>
      </c>
      <c r="U356" s="1">
        <v>187.8</v>
      </c>
      <c r="V356" s="1" t="s">
        <v>32</v>
      </c>
      <c r="W356" s="1">
        <v>182.8</v>
      </c>
      <c r="X356" s="1">
        <v>176.4</v>
      </c>
      <c r="Y356" s="1">
        <v>183.5</v>
      </c>
      <c r="Z356" s="1">
        <v>167.8</v>
      </c>
      <c r="AA356" s="1"/>
      <c r="AB356" s="1">
        <v>171.2</v>
      </c>
      <c r="AC356" s="1">
        <v>177.3</v>
      </c>
      <c r="AD356" s="1">
        <v>175.7</v>
      </c>
      <c r="AE356" s="1">
        <v>175.5</v>
      </c>
      <c r="AF356" s="1">
        <v>177.1</v>
      </c>
    </row>
    <row r="357" spans="1:32" x14ac:dyDescent="0.3">
      <c r="A357" s="1" t="s">
        <v>33</v>
      </c>
      <c r="B357" s="1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f t="shared" si="10"/>
        <v>2295.7999999999997</v>
      </c>
      <c r="R357" s="1">
        <v>201.1</v>
      </c>
      <c r="S357" s="1">
        <v>177.7</v>
      </c>
      <c r="T357" s="1">
        <v>164.5</v>
      </c>
      <c r="U357" s="1">
        <v>175.7</v>
      </c>
      <c r="V357" s="1">
        <v>170.7</v>
      </c>
      <c r="W357" s="1">
        <v>180.6</v>
      </c>
      <c r="X357" s="1">
        <v>167.3</v>
      </c>
      <c r="Y357" s="1">
        <v>177.2</v>
      </c>
      <c r="Z357" s="1">
        <v>159.4</v>
      </c>
      <c r="AA357" s="1"/>
      <c r="AB357" s="1">
        <v>167.1</v>
      </c>
      <c r="AC357" s="1">
        <v>171.8</v>
      </c>
      <c r="AD357" s="1">
        <v>176</v>
      </c>
      <c r="AE357" s="1">
        <v>168.2</v>
      </c>
      <c r="AF357" s="1">
        <v>174.1</v>
      </c>
    </row>
    <row r="358" spans="1:32" x14ac:dyDescent="0.3">
      <c r="A358" s="1" t="s">
        <v>34</v>
      </c>
      <c r="B358" s="1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f t="shared" si="10"/>
        <v>2283.4</v>
      </c>
      <c r="R358" s="1">
        <v>197.3</v>
      </c>
      <c r="S358" s="1">
        <v>184</v>
      </c>
      <c r="T358" s="1">
        <v>177</v>
      </c>
      <c r="U358" s="1">
        <v>183</v>
      </c>
      <c r="V358" s="1">
        <v>170.7</v>
      </c>
      <c r="W358" s="1">
        <v>182</v>
      </c>
      <c r="X358" s="1">
        <v>172.1</v>
      </c>
      <c r="Y358" s="1">
        <v>181.1</v>
      </c>
      <c r="Z358" s="1">
        <v>163.4</v>
      </c>
      <c r="AA358" s="1"/>
      <c r="AB358" s="1">
        <v>168.9</v>
      </c>
      <c r="AC358" s="1">
        <v>174.1</v>
      </c>
      <c r="AD358" s="1">
        <v>175.8</v>
      </c>
      <c r="AE358" s="1">
        <v>172</v>
      </c>
      <c r="AF358" s="1">
        <v>175.7</v>
      </c>
    </row>
    <row r="359" spans="1:32" x14ac:dyDescent="0.3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f t="shared" si="10"/>
        <v>2283.2000000000003</v>
      </c>
      <c r="R359" s="1">
        <v>196.9</v>
      </c>
      <c r="S359" s="1">
        <v>189</v>
      </c>
      <c r="T359" s="1">
        <v>186.3</v>
      </c>
      <c r="U359" s="1">
        <v>188.6</v>
      </c>
      <c r="V359" s="1" t="s">
        <v>32</v>
      </c>
      <c r="W359" s="1">
        <v>183.2</v>
      </c>
      <c r="X359" s="1">
        <v>177.2</v>
      </c>
      <c r="Y359" s="1">
        <v>184.7</v>
      </c>
      <c r="Z359" s="1">
        <v>168.2</v>
      </c>
      <c r="AA359" s="1"/>
      <c r="AB359" s="1">
        <v>171.8</v>
      </c>
      <c r="AC359" s="1">
        <v>177.8</v>
      </c>
      <c r="AD359" s="1">
        <v>178.4</v>
      </c>
      <c r="AE359" s="1">
        <v>176.5</v>
      </c>
      <c r="AF359" s="1">
        <v>177.8</v>
      </c>
    </row>
    <row r="360" spans="1:32" x14ac:dyDescent="0.3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f t="shared" si="10"/>
        <v>2310.2000000000003</v>
      </c>
      <c r="R360" s="1">
        <v>201.6</v>
      </c>
      <c r="S360" s="1">
        <v>178.7</v>
      </c>
      <c r="T360" s="1">
        <v>165.3</v>
      </c>
      <c r="U360" s="1">
        <v>176.6</v>
      </c>
      <c r="V360" s="1">
        <v>172.1</v>
      </c>
      <c r="W360" s="1">
        <v>180.1</v>
      </c>
      <c r="X360" s="1">
        <v>168</v>
      </c>
      <c r="Y360" s="1">
        <v>178.5</v>
      </c>
      <c r="Z360" s="1">
        <v>159.5</v>
      </c>
      <c r="AA360" s="1"/>
      <c r="AB360" s="1">
        <v>167.8</v>
      </c>
      <c r="AC360" s="1">
        <v>171.8</v>
      </c>
      <c r="AD360" s="1">
        <v>178.8</v>
      </c>
      <c r="AE360" s="1">
        <v>168.9</v>
      </c>
      <c r="AF360" s="1">
        <v>174.9</v>
      </c>
    </row>
    <row r="361" spans="1:32" x14ac:dyDescent="0.3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f t="shared" si="10"/>
        <v>2292.6999999999998</v>
      </c>
      <c r="R361" s="1">
        <v>198.2</v>
      </c>
      <c r="S361" s="1">
        <v>184.9</v>
      </c>
      <c r="T361" s="1">
        <v>177.6</v>
      </c>
      <c r="U361" s="1">
        <v>183.8</v>
      </c>
      <c r="V361" s="1">
        <v>172.1</v>
      </c>
      <c r="W361" s="1">
        <v>182</v>
      </c>
      <c r="X361" s="1">
        <v>172.9</v>
      </c>
      <c r="Y361" s="1">
        <v>182.3</v>
      </c>
      <c r="Z361" s="1">
        <v>163.6</v>
      </c>
      <c r="AA361" s="1"/>
      <c r="AB361" s="1">
        <v>169.5</v>
      </c>
      <c r="AC361" s="1">
        <v>174.3</v>
      </c>
      <c r="AD361" s="1">
        <v>178.6</v>
      </c>
      <c r="AE361" s="1">
        <v>172.8</v>
      </c>
      <c r="AF361" s="1">
        <v>176.5</v>
      </c>
    </row>
    <row r="362" spans="1:32" x14ac:dyDescent="0.3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f t="shared" si="10"/>
        <v>2265.6999999999998</v>
      </c>
      <c r="R362" s="1">
        <v>198.3</v>
      </c>
      <c r="S362" s="1">
        <v>190</v>
      </c>
      <c r="T362" s="1">
        <v>187</v>
      </c>
      <c r="U362" s="1">
        <v>189.6</v>
      </c>
      <c r="V362" s="1" t="s">
        <v>32</v>
      </c>
      <c r="W362" s="1">
        <v>181.6</v>
      </c>
      <c r="X362" s="1">
        <v>178.6</v>
      </c>
      <c r="Y362" s="1">
        <v>186.6</v>
      </c>
      <c r="Z362" s="1">
        <v>169</v>
      </c>
      <c r="AA362" s="1"/>
      <c r="AB362" s="1">
        <v>172.8</v>
      </c>
      <c r="AC362" s="1">
        <v>178.5</v>
      </c>
      <c r="AD362" s="1">
        <v>180.7</v>
      </c>
      <c r="AE362" s="1">
        <v>177.9</v>
      </c>
      <c r="AF362" s="1">
        <v>178</v>
      </c>
    </row>
    <row r="363" spans="1:32" x14ac:dyDescent="0.3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f t="shared" si="10"/>
        <v>2303.1999999999998</v>
      </c>
      <c r="R363" s="1">
        <v>202.7</v>
      </c>
      <c r="S363" s="1">
        <v>180.3</v>
      </c>
      <c r="T363" s="1">
        <v>167</v>
      </c>
      <c r="U363" s="1">
        <v>178.2</v>
      </c>
      <c r="V363" s="1">
        <v>173.5</v>
      </c>
      <c r="W363" s="1">
        <v>182.8</v>
      </c>
      <c r="X363" s="1">
        <v>169.2</v>
      </c>
      <c r="Y363" s="1">
        <v>180.8</v>
      </c>
      <c r="Z363" s="1">
        <v>159.80000000000001</v>
      </c>
      <c r="AA363" s="1"/>
      <c r="AB363" s="1">
        <v>168.4</v>
      </c>
      <c r="AC363" s="1">
        <v>172.5</v>
      </c>
      <c r="AD363" s="1">
        <v>181.4</v>
      </c>
      <c r="AE363" s="1">
        <v>170</v>
      </c>
      <c r="AF363" s="1">
        <v>176.3</v>
      </c>
    </row>
    <row r="364" spans="1:32" x14ac:dyDescent="0.3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f t="shared" si="10"/>
        <v>2279.1</v>
      </c>
      <c r="R364" s="1">
        <v>199.5</v>
      </c>
      <c r="S364" s="1">
        <v>186.2</v>
      </c>
      <c r="T364" s="1">
        <v>178.7</v>
      </c>
      <c r="U364" s="1">
        <v>185.1</v>
      </c>
      <c r="V364" s="1">
        <v>173.5</v>
      </c>
      <c r="W364" s="1">
        <v>182.1</v>
      </c>
      <c r="X364" s="1">
        <v>174.2</v>
      </c>
      <c r="Y364" s="1">
        <v>184.4</v>
      </c>
      <c r="Z364" s="1">
        <v>164.2</v>
      </c>
      <c r="AA364" s="1"/>
      <c r="AB364" s="1">
        <v>170.3</v>
      </c>
      <c r="AC364" s="1">
        <v>175</v>
      </c>
      <c r="AD364" s="1">
        <v>181</v>
      </c>
      <c r="AE364" s="1">
        <v>174.1</v>
      </c>
      <c r="AF364" s="1">
        <v>177.2</v>
      </c>
    </row>
    <row r="365" spans="1:32" x14ac:dyDescent="0.3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f t="shared" si="10"/>
        <v>2265.8000000000002</v>
      </c>
      <c r="R365" s="1">
        <v>198.4</v>
      </c>
      <c r="S365" s="1">
        <v>190</v>
      </c>
      <c r="T365" s="1">
        <v>187</v>
      </c>
      <c r="U365" s="1">
        <v>189.6</v>
      </c>
      <c r="V365" s="1" t="s">
        <v>32</v>
      </c>
      <c r="W365" s="1">
        <v>181.4</v>
      </c>
      <c r="X365" s="1">
        <v>178.6</v>
      </c>
      <c r="Y365" s="1">
        <v>186.6</v>
      </c>
      <c r="Z365" s="1">
        <v>169</v>
      </c>
      <c r="AA365" s="1">
        <f t="shared" ref="AA365:AA367" si="12">X365+Z365</f>
        <v>347.6</v>
      </c>
      <c r="AB365" s="1">
        <v>172.8</v>
      </c>
      <c r="AC365" s="1">
        <v>178.5</v>
      </c>
      <c r="AD365" s="1">
        <v>180.7</v>
      </c>
      <c r="AE365" s="1">
        <v>177.9</v>
      </c>
      <c r="AF365" s="1">
        <v>178</v>
      </c>
    </row>
    <row r="366" spans="1:32" x14ac:dyDescent="0.3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f t="shared" si="10"/>
        <v>2303.4</v>
      </c>
      <c r="R366" s="1">
        <v>202.7</v>
      </c>
      <c r="S366" s="1">
        <v>180.2</v>
      </c>
      <c r="T366" s="1">
        <v>167</v>
      </c>
      <c r="U366" s="1">
        <v>178.2</v>
      </c>
      <c r="V366" s="1">
        <v>173.5</v>
      </c>
      <c r="W366" s="1">
        <v>182.6</v>
      </c>
      <c r="X366" s="1">
        <v>169.2</v>
      </c>
      <c r="Y366" s="1">
        <v>180.8</v>
      </c>
      <c r="Z366" s="1">
        <v>159.80000000000001</v>
      </c>
      <c r="AA366" s="1">
        <f t="shared" si="12"/>
        <v>329</v>
      </c>
      <c r="AB366" s="1">
        <v>168.4</v>
      </c>
      <c r="AC366" s="1">
        <v>172.5</v>
      </c>
      <c r="AD366" s="1">
        <v>181.5</v>
      </c>
      <c r="AE366" s="1">
        <v>170</v>
      </c>
      <c r="AF366" s="1">
        <v>176.3</v>
      </c>
    </row>
    <row r="367" spans="1:32" x14ac:dyDescent="0.3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f t="shared" si="10"/>
        <v>2279.1999999999998</v>
      </c>
      <c r="R367" s="1">
        <v>199.5</v>
      </c>
      <c r="S367" s="1">
        <v>186.1</v>
      </c>
      <c r="T367" s="1">
        <v>178.7</v>
      </c>
      <c r="U367" s="1">
        <v>185.1</v>
      </c>
      <c r="V367" s="1">
        <v>173.5</v>
      </c>
      <c r="W367" s="1">
        <v>181.9</v>
      </c>
      <c r="X367" s="1">
        <v>174.2</v>
      </c>
      <c r="Y367" s="1">
        <v>184.4</v>
      </c>
      <c r="Z367" s="1">
        <v>164.2</v>
      </c>
      <c r="AA367" s="1">
        <f t="shared" si="12"/>
        <v>338.4</v>
      </c>
      <c r="AB367" s="1">
        <v>170.3</v>
      </c>
      <c r="AC367" s="1">
        <v>175</v>
      </c>
      <c r="AD367" s="1">
        <v>181</v>
      </c>
      <c r="AE367" s="1">
        <v>174.1</v>
      </c>
      <c r="AF367" s="1">
        <v>177.2</v>
      </c>
    </row>
    <row r="368" spans="1:32" x14ac:dyDescent="0.3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f t="shared" si="10"/>
        <v>2274.1999999999998</v>
      </c>
      <c r="R368" s="1">
        <v>199.5</v>
      </c>
      <c r="S368" s="1">
        <v>190.7</v>
      </c>
      <c r="T368" s="1">
        <v>187.3</v>
      </c>
      <c r="U368" s="1">
        <v>190.2</v>
      </c>
      <c r="V368" s="1" t="s">
        <v>48</v>
      </c>
      <c r="W368" s="1">
        <v>181.5</v>
      </c>
      <c r="X368" s="1">
        <v>179.1</v>
      </c>
      <c r="Y368" s="1">
        <v>187.2</v>
      </c>
      <c r="Z368" s="1">
        <v>169.4</v>
      </c>
      <c r="AA368" s="1"/>
      <c r="AB368" s="1">
        <v>173.2</v>
      </c>
      <c r="AC368" s="1">
        <v>179.4</v>
      </c>
      <c r="AD368" s="1">
        <v>183.8</v>
      </c>
      <c r="AE368" s="1">
        <v>178.9</v>
      </c>
      <c r="AF368" s="1">
        <v>178.8</v>
      </c>
    </row>
    <row r="369" spans="1:32" x14ac:dyDescent="0.3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f t="shared" si="10"/>
        <v>2317.7000000000003</v>
      </c>
      <c r="R369" s="1">
        <v>203.5</v>
      </c>
      <c r="S369" s="1">
        <v>181</v>
      </c>
      <c r="T369" s="1">
        <v>167.7</v>
      </c>
      <c r="U369" s="1">
        <v>178.9</v>
      </c>
      <c r="V369" s="1">
        <v>175.2</v>
      </c>
      <c r="W369" s="1">
        <v>182.1</v>
      </c>
      <c r="X369" s="1">
        <v>169.6</v>
      </c>
      <c r="Y369" s="1">
        <v>181.5</v>
      </c>
      <c r="Z369" s="1">
        <v>160.1</v>
      </c>
      <c r="AA369" s="1"/>
      <c r="AB369" s="1">
        <v>168.8</v>
      </c>
      <c r="AC369" s="1">
        <v>174.2</v>
      </c>
      <c r="AD369" s="1">
        <v>184.4</v>
      </c>
      <c r="AE369" s="1">
        <v>170.9</v>
      </c>
      <c r="AF369" s="1">
        <v>177.4</v>
      </c>
    </row>
    <row r="370" spans="1:32" x14ac:dyDescent="0.3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f t="shared" si="10"/>
        <v>2289.6000000000004</v>
      </c>
      <c r="R370" s="1">
        <v>200.6</v>
      </c>
      <c r="S370" s="1">
        <v>186.9</v>
      </c>
      <c r="T370" s="1">
        <v>179.2</v>
      </c>
      <c r="U370" s="1">
        <v>185.7</v>
      </c>
      <c r="V370" s="1">
        <v>175.2</v>
      </c>
      <c r="W370" s="1">
        <v>181.7</v>
      </c>
      <c r="X370" s="1">
        <v>174.6</v>
      </c>
      <c r="Y370" s="1">
        <v>185</v>
      </c>
      <c r="Z370" s="1">
        <v>164.5</v>
      </c>
      <c r="AA370" s="1"/>
      <c r="AB370" s="1">
        <v>170.7</v>
      </c>
      <c r="AC370" s="1">
        <v>176.4</v>
      </c>
      <c r="AD370" s="1">
        <v>184</v>
      </c>
      <c r="AE370" s="1">
        <v>175</v>
      </c>
      <c r="AF370" s="1">
        <v>178.1</v>
      </c>
    </row>
    <row r="371" spans="1:32" x14ac:dyDescent="0.3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f t="shared" si="10"/>
        <v>2290.7000000000007</v>
      </c>
      <c r="R371" s="1">
        <v>199.9</v>
      </c>
      <c r="S371" s="1">
        <v>191.2</v>
      </c>
      <c r="T371" s="1">
        <v>187.9</v>
      </c>
      <c r="U371" s="1">
        <v>190.8</v>
      </c>
      <c r="V371" s="1" t="s">
        <v>48</v>
      </c>
      <c r="W371" s="1">
        <v>182.5</v>
      </c>
      <c r="X371" s="1">
        <v>179.8</v>
      </c>
      <c r="Y371" s="1">
        <v>187.8</v>
      </c>
      <c r="Z371" s="1">
        <v>169.7</v>
      </c>
      <c r="AA371" s="1"/>
      <c r="AB371" s="1">
        <v>173.8</v>
      </c>
      <c r="AC371" s="1">
        <v>180.3</v>
      </c>
      <c r="AD371" s="1">
        <v>184.9</v>
      </c>
      <c r="AE371" s="1">
        <v>179.5</v>
      </c>
      <c r="AF371" s="1">
        <v>179.8</v>
      </c>
    </row>
    <row r="372" spans="1:32" x14ac:dyDescent="0.3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f t="shared" si="10"/>
        <v>2335.1</v>
      </c>
      <c r="R372" s="1">
        <v>204.2</v>
      </c>
      <c r="S372" s="1">
        <v>181.3</v>
      </c>
      <c r="T372" s="1">
        <v>168.1</v>
      </c>
      <c r="U372" s="1">
        <v>179.3</v>
      </c>
      <c r="V372" s="1">
        <v>175.6</v>
      </c>
      <c r="W372" s="1">
        <v>183.4</v>
      </c>
      <c r="X372" s="1">
        <v>170.1</v>
      </c>
      <c r="Y372" s="1">
        <v>182.2</v>
      </c>
      <c r="Z372" s="1">
        <v>160.4</v>
      </c>
      <c r="AA372" s="1"/>
      <c r="AB372" s="1">
        <v>169.2</v>
      </c>
      <c r="AC372" s="1">
        <v>174.8</v>
      </c>
      <c r="AD372" s="1">
        <v>185.6</v>
      </c>
      <c r="AE372" s="1">
        <v>171.6</v>
      </c>
      <c r="AF372" s="1">
        <v>178.2</v>
      </c>
    </row>
    <row r="373" spans="1:32" x14ac:dyDescent="0.3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f t="shared" si="10"/>
        <v>2306.9</v>
      </c>
      <c r="R373" s="1">
        <v>201</v>
      </c>
      <c r="S373" s="1">
        <v>187.3</v>
      </c>
      <c r="T373" s="1">
        <v>179.7</v>
      </c>
      <c r="U373" s="1">
        <v>186.2</v>
      </c>
      <c r="V373" s="1">
        <v>175.6</v>
      </c>
      <c r="W373" s="1">
        <v>182.8</v>
      </c>
      <c r="X373" s="1">
        <v>175.2</v>
      </c>
      <c r="Y373" s="1">
        <v>185.7</v>
      </c>
      <c r="Z373" s="1">
        <v>164.8</v>
      </c>
      <c r="AA373" s="1"/>
      <c r="AB373" s="1">
        <v>171.2</v>
      </c>
      <c r="AC373" s="1">
        <v>177.1</v>
      </c>
      <c r="AD373" s="1">
        <v>185.2</v>
      </c>
      <c r="AE373" s="1">
        <v>175.7</v>
      </c>
      <c r="AF373" s="1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4CA-46B8-4942-B350-1A1939B1A273}">
  <dimension ref="A1:S59"/>
  <sheetViews>
    <sheetView topLeftCell="J31" zoomScale="90" zoomScaleNormal="100" workbookViewId="0">
      <selection activeCell="G1" sqref="G1"/>
    </sheetView>
  </sheetViews>
  <sheetFormatPr defaultRowHeight="14.4" x14ac:dyDescent="0.3"/>
  <cols>
    <col min="1" max="1" width="32.109375" bestFit="1" customWidth="1"/>
    <col min="2" max="2" width="27.5546875" bestFit="1" customWidth="1"/>
    <col min="3" max="3" width="12.44140625" bestFit="1" customWidth="1"/>
    <col min="4" max="4" width="13.21875" bestFit="1" customWidth="1"/>
    <col min="5" max="5" width="18.109375" bestFit="1" customWidth="1"/>
    <col min="7" max="7" width="29.77734375" customWidth="1"/>
    <col min="8" max="8" width="31.33203125" bestFit="1" customWidth="1"/>
    <col min="9" max="9" width="32.109375" bestFit="1" customWidth="1"/>
    <col min="10" max="10" width="39.44140625" bestFit="1" customWidth="1"/>
    <col min="11" max="11" width="8.77734375" bestFit="1" customWidth="1"/>
    <col min="13" max="13" width="40.77734375" bestFit="1" customWidth="1"/>
    <col min="14" max="14" width="8.77734375" bestFit="1" customWidth="1"/>
    <col min="15" max="15" width="1.5546875" bestFit="1" customWidth="1"/>
    <col min="16" max="16" width="27.5546875" bestFit="1" customWidth="1"/>
    <col min="17" max="17" width="39.44140625" bestFit="1" customWidth="1"/>
    <col min="18" max="18" width="33.77734375" bestFit="1" customWidth="1"/>
    <col min="19" max="19" width="20.44140625" bestFit="1" customWidth="1"/>
    <col min="20" max="20" width="32.33203125" bestFit="1" customWidth="1"/>
    <col min="21" max="24" width="28.44140625" bestFit="1" customWidth="1"/>
    <col min="25" max="25" width="11.5546875" bestFit="1" customWidth="1"/>
  </cols>
  <sheetData>
    <row r="1" spans="1:19" ht="21" x14ac:dyDescent="0.4">
      <c r="A1" s="63" t="s">
        <v>73</v>
      </c>
      <c r="B1" s="64"/>
      <c r="C1" s="64"/>
      <c r="D1" s="64"/>
      <c r="E1" s="64"/>
    </row>
    <row r="2" spans="1:19" x14ac:dyDescent="0.3">
      <c r="C2" s="13"/>
      <c r="D2" s="13"/>
      <c r="E2" s="13"/>
    </row>
    <row r="3" spans="1:19" ht="28.8" customHeight="1" x14ac:dyDescent="0.3">
      <c r="A3" s="5" t="s">
        <v>55</v>
      </c>
      <c r="B3" s="5" t="s">
        <v>56</v>
      </c>
      <c r="C3" s="14" t="s">
        <v>115</v>
      </c>
      <c r="D3" s="14" t="s">
        <v>116</v>
      </c>
      <c r="E3" s="14" t="s">
        <v>117</v>
      </c>
      <c r="G3" s="62" t="s">
        <v>112</v>
      </c>
      <c r="H3" s="62"/>
      <c r="J3" s="62" t="s">
        <v>113</v>
      </c>
      <c r="K3" s="62"/>
      <c r="M3" s="62" t="s">
        <v>114</v>
      </c>
      <c r="N3" s="62"/>
      <c r="P3" s="62" t="s">
        <v>114</v>
      </c>
      <c r="Q3" s="62"/>
      <c r="R3" s="62"/>
      <c r="S3" s="62"/>
    </row>
    <row r="4" spans="1:19" ht="18" customHeight="1" x14ac:dyDescent="0.3">
      <c r="A4" s="1" t="s">
        <v>3</v>
      </c>
      <c r="B4" s="1" t="s">
        <v>49</v>
      </c>
      <c r="C4" s="1">
        <v>173.2</v>
      </c>
      <c r="D4" s="1">
        <v>174.7</v>
      </c>
      <c r="E4" s="1">
        <v>173.7</v>
      </c>
      <c r="G4" s="62"/>
      <c r="H4" s="62"/>
      <c r="J4" s="62"/>
      <c r="K4" s="62"/>
      <c r="M4" s="62"/>
      <c r="N4" s="62"/>
      <c r="P4" s="62"/>
      <c r="Q4" s="62"/>
      <c r="R4" s="62"/>
      <c r="S4" s="62"/>
    </row>
    <row r="5" spans="1:19" ht="14.4" customHeight="1" x14ac:dyDescent="0.3">
      <c r="A5" s="1" t="s">
        <v>4</v>
      </c>
      <c r="B5" s="1" t="s">
        <v>50</v>
      </c>
      <c r="C5" s="1">
        <v>211.5</v>
      </c>
      <c r="D5" s="1">
        <v>219.4</v>
      </c>
      <c r="E5" s="1">
        <v>214.3</v>
      </c>
      <c r="G5" s="62"/>
      <c r="H5" s="62"/>
      <c r="J5" s="62"/>
      <c r="K5" s="62"/>
      <c r="M5" s="62"/>
      <c r="N5" s="62"/>
      <c r="O5" t="s">
        <v>111</v>
      </c>
      <c r="P5" s="62"/>
      <c r="Q5" s="62"/>
      <c r="R5" s="62"/>
      <c r="S5" s="62"/>
    </row>
    <row r="6" spans="1:19" x14ac:dyDescent="0.3">
      <c r="A6" s="1" t="s">
        <v>5</v>
      </c>
      <c r="B6" s="1" t="s">
        <v>50</v>
      </c>
      <c r="C6" s="1">
        <v>171</v>
      </c>
      <c r="D6" s="1">
        <v>176.7</v>
      </c>
      <c r="E6" s="1">
        <v>173.2</v>
      </c>
      <c r="G6" s="3" t="s">
        <v>69</v>
      </c>
      <c r="J6" s="3" t="s">
        <v>70</v>
      </c>
      <c r="M6" s="3" t="s">
        <v>71</v>
      </c>
      <c r="Q6" s="3" t="s">
        <v>122</v>
      </c>
    </row>
    <row r="7" spans="1:19" x14ac:dyDescent="0.3">
      <c r="A7" s="1" t="s">
        <v>6</v>
      </c>
      <c r="B7" s="1" t="s">
        <v>49</v>
      </c>
      <c r="C7" s="1">
        <v>179.6</v>
      </c>
      <c r="D7" s="1">
        <v>179.4</v>
      </c>
      <c r="E7" s="1">
        <v>179.5</v>
      </c>
      <c r="G7" s="3" t="s">
        <v>56</v>
      </c>
      <c r="H7" t="s">
        <v>58</v>
      </c>
      <c r="J7" s="3" t="s">
        <v>56</v>
      </c>
      <c r="K7" t="s">
        <v>58</v>
      </c>
      <c r="M7" s="3" t="s">
        <v>56</v>
      </c>
      <c r="N7" t="s">
        <v>58</v>
      </c>
      <c r="P7" s="3" t="s">
        <v>56</v>
      </c>
      <c r="Q7" t="s">
        <v>121</v>
      </c>
      <c r="R7" t="s">
        <v>123</v>
      </c>
      <c r="S7" t="s">
        <v>69</v>
      </c>
    </row>
    <row r="8" spans="1:19" x14ac:dyDescent="0.3">
      <c r="A8" s="1" t="s">
        <v>7</v>
      </c>
      <c r="B8" s="1" t="s">
        <v>49</v>
      </c>
      <c r="C8" s="1">
        <v>173.3</v>
      </c>
      <c r="D8" s="1">
        <v>164.4</v>
      </c>
      <c r="E8" s="1">
        <v>170</v>
      </c>
      <c r="G8" t="s">
        <v>17</v>
      </c>
      <c r="H8" s="16">
        <v>0.12667822530452569</v>
      </c>
      <c r="J8" t="s">
        <v>17</v>
      </c>
      <c r="K8" s="16">
        <v>0.1139218686030727</v>
      </c>
      <c r="M8" t="s">
        <v>49</v>
      </c>
      <c r="N8" s="16">
        <v>0.29492523203850118</v>
      </c>
      <c r="P8" t="s">
        <v>17</v>
      </c>
      <c r="Q8">
        <v>553.20000000000005</v>
      </c>
      <c r="R8">
        <v>528.70000000000005</v>
      </c>
      <c r="S8">
        <v>569.90000000000009</v>
      </c>
    </row>
    <row r="9" spans="1:19" x14ac:dyDescent="0.3">
      <c r="A9" s="1" t="s">
        <v>8</v>
      </c>
      <c r="B9" s="1" t="s">
        <v>49</v>
      </c>
      <c r="C9" s="1">
        <v>169</v>
      </c>
      <c r="D9" s="1">
        <v>175.8</v>
      </c>
      <c r="E9" s="1">
        <v>172.2</v>
      </c>
      <c r="G9" t="s">
        <v>26</v>
      </c>
      <c r="H9" s="16">
        <v>4.0077353961056293E-2</v>
      </c>
      <c r="J9" t="s">
        <v>26</v>
      </c>
      <c r="K9" s="16">
        <v>3.766510806093646E-2</v>
      </c>
      <c r="M9" t="s">
        <v>52</v>
      </c>
      <c r="N9" s="16">
        <v>0.11975764867652113</v>
      </c>
      <c r="P9" t="s">
        <v>26</v>
      </c>
      <c r="Q9">
        <v>177.1</v>
      </c>
      <c r="R9">
        <v>174.8</v>
      </c>
      <c r="S9">
        <v>180.3</v>
      </c>
    </row>
    <row r="10" spans="1:19" x14ac:dyDescent="0.3">
      <c r="A10" s="1" t="s">
        <v>9</v>
      </c>
      <c r="B10" s="1" t="s">
        <v>49</v>
      </c>
      <c r="C10" s="1">
        <v>148.69999999999999</v>
      </c>
      <c r="D10" s="1">
        <v>185</v>
      </c>
      <c r="E10" s="1">
        <v>161</v>
      </c>
      <c r="G10" t="s">
        <v>53</v>
      </c>
      <c r="H10" s="16">
        <v>4.056637325509025E-2</v>
      </c>
      <c r="J10" t="s">
        <v>53</v>
      </c>
      <c r="K10" s="16">
        <v>3.9518196901463083E-2</v>
      </c>
      <c r="M10" t="s">
        <v>17</v>
      </c>
      <c r="N10" s="16">
        <v>0.11885527672739772</v>
      </c>
      <c r="P10" t="s">
        <v>53</v>
      </c>
      <c r="Q10">
        <v>182.8</v>
      </c>
      <c r="R10">
        <v>183.4</v>
      </c>
      <c r="S10">
        <v>182.5</v>
      </c>
    </row>
    <row r="11" spans="1:19" x14ac:dyDescent="0.3">
      <c r="A11" s="1" t="s">
        <v>10</v>
      </c>
      <c r="B11" s="1" t="s">
        <v>49</v>
      </c>
      <c r="C11" s="1">
        <v>174.9</v>
      </c>
      <c r="D11" s="1">
        <v>176.9</v>
      </c>
      <c r="E11" s="1">
        <v>175.6</v>
      </c>
      <c r="G11" t="s">
        <v>51</v>
      </c>
      <c r="H11" s="16">
        <v>0.1214990664177114</v>
      </c>
      <c r="J11" t="s">
        <v>51</v>
      </c>
      <c r="K11" s="16">
        <v>0.11780042664138424</v>
      </c>
      <c r="M11" t="s">
        <v>51</v>
      </c>
      <c r="N11" s="16">
        <v>0.11745874871089722</v>
      </c>
      <c r="P11" t="s">
        <v>51</v>
      </c>
      <c r="Q11">
        <v>546.70000000000005</v>
      </c>
      <c r="R11">
        <v>546.70000000000005</v>
      </c>
      <c r="S11">
        <v>546.59999999999991</v>
      </c>
    </row>
    <row r="12" spans="1:19" x14ac:dyDescent="0.3">
      <c r="A12" s="1" t="s">
        <v>11</v>
      </c>
      <c r="B12" s="1" t="s">
        <v>49</v>
      </c>
      <c r="C12" s="1">
        <v>121.9</v>
      </c>
      <c r="D12" s="1">
        <v>124.2</v>
      </c>
      <c r="E12" s="1">
        <v>122.7</v>
      </c>
      <c r="G12" t="s">
        <v>23</v>
      </c>
      <c r="H12" s="16">
        <v>4.1744465190717533E-2</v>
      </c>
      <c r="J12" t="s">
        <v>23</v>
      </c>
      <c r="K12" s="16">
        <v>3.9259626365575645E-2</v>
      </c>
      <c r="M12" t="s">
        <v>50</v>
      </c>
      <c r="N12" s="16">
        <v>8.3254554829838429E-2</v>
      </c>
      <c r="P12" t="s">
        <v>23</v>
      </c>
      <c r="Q12">
        <v>185.7</v>
      </c>
      <c r="R12">
        <v>182.2</v>
      </c>
      <c r="S12">
        <v>187.8</v>
      </c>
    </row>
    <row r="13" spans="1:19" x14ac:dyDescent="0.3">
      <c r="A13" s="1" t="s">
        <v>12</v>
      </c>
      <c r="B13" s="1" t="s">
        <v>49</v>
      </c>
      <c r="C13" s="1">
        <v>221</v>
      </c>
      <c r="D13" s="1">
        <v>211.9</v>
      </c>
      <c r="E13" s="1">
        <v>218</v>
      </c>
      <c r="G13" t="s">
        <v>20</v>
      </c>
      <c r="H13" s="16">
        <v>3.9966213212412206E-2</v>
      </c>
      <c r="J13" t="s">
        <v>20</v>
      </c>
      <c r="K13" s="16">
        <v>7.4489861880238747E-2</v>
      </c>
      <c r="M13" t="s">
        <v>20</v>
      </c>
      <c r="N13" s="16">
        <v>7.5369542798212424E-2</v>
      </c>
      <c r="P13" t="s">
        <v>20</v>
      </c>
      <c r="Q13">
        <v>350.79999999999995</v>
      </c>
      <c r="R13">
        <v>345.7</v>
      </c>
      <c r="S13">
        <v>179.8</v>
      </c>
    </row>
    <row r="14" spans="1:19" x14ac:dyDescent="0.3">
      <c r="A14" s="1" t="s">
        <v>13</v>
      </c>
      <c r="B14" s="1" t="s">
        <v>51</v>
      </c>
      <c r="C14" s="1">
        <v>178.7</v>
      </c>
      <c r="D14" s="1">
        <v>165.9</v>
      </c>
      <c r="E14" s="1">
        <v>173.4</v>
      </c>
      <c r="G14" t="s">
        <v>52</v>
      </c>
      <c r="H14" s="16">
        <v>0.1241664443851694</v>
      </c>
      <c r="J14" t="s">
        <v>52</v>
      </c>
      <c r="K14" s="16">
        <v>0.12045077463423044</v>
      </c>
      <c r="M14" t="s">
        <v>23</v>
      </c>
      <c r="N14" s="16">
        <v>3.9897731179099338E-2</v>
      </c>
      <c r="P14" t="s">
        <v>52</v>
      </c>
      <c r="Q14">
        <v>557.4</v>
      </c>
      <c r="R14">
        <v>559</v>
      </c>
      <c r="S14">
        <v>558.6</v>
      </c>
    </row>
    <row r="15" spans="1:19" x14ac:dyDescent="0.3">
      <c r="A15" s="1" t="s">
        <v>14</v>
      </c>
      <c r="B15" s="1" t="s">
        <v>51</v>
      </c>
      <c r="C15" s="1">
        <v>191.1</v>
      </c>
      <c r="D15" s="1">
        <v>197.7</v>
      </c>
      <c r="E15" s="1">
        <v>194.2</v>
      </c>
      <c r="G15" t="s">
        <v>54</v>
      </c>
      <c r="H15" s="16">
        <v>3.9899528763225757E-2</v>
      </c>
      <c r="J15" t="s">
        <v>54</v>
      </c>
      <c r="K15" s="16">
        <v>3.6975586631903298E-2</v>
      </c>
      <c r="M15" t="s">
        <v>53</v>
      </c>
      <c r="N15" s="16">
        <v>3.9274664833276039E-2</v>
      </c>
      <c r="P15" t="s">
        <v>54</v>
      </c>
      <c r="Q15">
        <v>175.7</v>
      </c>
      <c r="R15">
        <v>171.6</v>
      </c>
      <c r="S15">
        <v>179.5</v>
      </c>
    </row>
    <row r="16" spans="1:19" x14ac:dyDescent="0.3">
      <c r="A16" s="1" t="s">
        <v>15</v>
      </c>
      <c r="B16" s="1" t="s">
        <v>51</v>
      </c>
      <c r="C16" s="1">
        <v>176.8</v>
      </c>
      <c r="D16" s="1">
        <v>183.1</v>
      </c>
      <c r="E16" s="1">
        <v>179.1</v>
      </c>
      <c r="G16" t="s">
        <v>50</v>
      </c>
      <c r="H16" s="16">
        <v>8.5022672712723402E-2</v>
      </c>
      <c r="J16" t="s">
        <v>50</v>
      </c>
      <c r="K16" s="16">
        <v>8.5349824387511056E-2</v>
      </c>
      <c r="M16" t="s">
        <v>26</v>
      </c>
      <c r="N16" s="16">
        <v>3.8050017188037119E-2</v>
      </c>
      <c r="P16" t="s">
        <v>50</v>
      </c>
      <c r="Q16">
        <v>387.5</v>
      </c>
      <c r="R16">
        <v>396.1</v>
      </c>
      <c r="S16">
        <v>382.5</v>
      </c>
    </row>
    <row r="17" spans="1:19" x14ac:dyDescent="0.3">
      <c r="A17" s="1" t="s">
        <v>16</v>
      </c>
      <c r="B17" s="1" t="s">
        <v>52</v>
      </c>
      <c r="C17" s="1">
        <v>199.9</v>
      </c>
      <c r="D17" s="1">
        <v>204.2</v>
      </c>
      <c r="E17" s="1">
        <v>201</v>
      </c>
      <c r="G17" t="s">
        <v>24</v>
      </c>
      <c r="H17" s="16">
        <v>3.7721170089801727E-2</v>
      </c>
      <c r="J17" t="s">
        <v>24</v>
      </c>
      <c r="K17" s="16">
        <v>3.4562261630287236E-2</v>
      </c>
      <c r="M17" t="s">
        <v>54</v>
      </c>
      <c r="N17" s="16">
        <v>3.7749226538329315E-2</v>
      </c>
      <c r="P17" t="s">
        <v>24</v>
      </c>
      <c r="Q17">
        <v>164.8</v>
      </c>
      <c r="R17">
        <v>160.4</v>
      </c>
      <c r="S17">
        <v>169.7</v>
      </c>
    </row>
    <row r="18" spans="1:19" x14ac:dyDescent="0.3">
      <c r="A18" s="1" t="s">
        <v>17</v>
      </c>
      <c r="B18" s="1" t="s">
        <v>17</v>
      </c>
      <c r="C18" s="1">
        <v>191.2</v>
      </c>
      <c r="D18" s="1">
        <v>181.3</v>
      </c>
      <c r="E18" s="1">
        <v>187.3</v>
      </c>
      <c r="G18" t="s">
        <v>49</v>
      </c>
      <c r="H18" s="16">
        <v>0.30265848670756651</v>
      </c>
      <c r="J18" t="s">
        <v>49</v>
      </c>
      <c r="K18" s="16">
        <v>0.30000646426339722</v>
      </c>
      <c r="M18" t="s">
        <v>24</v>
      </c>
      <c r="N18" s="16">
        <v>3.5407356479889997E-2</v>
      </c>
      <c r="P18" t="s">
        <v>49</v>
      </c>
      <c r="Q18">
        <v>1372.7</v>
      </c>
      <c r="R18">
        <v>1392.3000000000002</v>
      </c>
      <c r="S18">
        <v>1361.6</v>
      </c>
    </row>
    <row r="19" spans="1:19" x14ac:dyDescent="0.3">
      <c r="A19" s="1" t="s">
        <v>18</v>
      </c>
      <c r="B19" s="1" t="s">
        <v>17</v>
      </c>
      <c r="C19" s="1">
        <v>187.9</v>
      </c>
      <c r="D19" s="1">
        <v>168.1</v>
      </c>
      <c r="E19" s="1">
        <v>179.7</v>
      </c>
      <c r="G19" t="s">
        <v>57</v>
      </c>
      <c r="H19" s="4">
        <v>1</v>
      </c>
      <c r="J19" t="s">
        <v>57</v>
      </c>
      <c r="K19" s="4">
        <v>1</v>
      </c>
      <c r="M19" t="s">
        <v>57</v>
      </c>
      <c r="N19" s="4">
        <v>1</v>
      </c>
      <c r="P19" t="s">
        <v>57</v>
      </c>
      <c r="Q19">
        <v>4654.4000000000005</v>
      </c>
      <c r="R19">
        <v>4640.8999999999996</v>
      </c>
      <c r="S19">
        <v>4498.7999999999993</v>
      </c>
    </row>
    <row r="20" spans="1:19" ht="15.6" x14ac:dyDescent="0.3">
      <c r="A20" s="1" t="s">
        <v>19</v>
      </c>
      <c r="B20" s="1" t="s">
        <v>17</v>
      </c>
      <c r="C20" s="1">
        <v>190.8</v>
      </c>
      <c r="D20" s="1">
        <v>179.3</v>
      </c>
      <c r="E20" s="1">
        <v>186.2</v>
      </c>
      <c r="G20" s="65" t="s">
        <v>91</v>
      </c>
      <c r="H20" s="65"/>
    </row>
    <row r="21" spans="1:19" x14ac:dyDescent="0.3">
      <c r="A21" s="1" t="s">
        <v>20</v>
      </c>
      <c r="B21" s="1" t="s">
        <v>20</v>
      </c>
      <c r="C21" s="1" t="s">
        <v>48</v>
      </c>
      <c r="D21" s="1">
        <v>175.6</v>
      </c>
      <c r="E21" s="1">
        <v>175.6</v>
      </c>
      <c r="G21" t="s">
        <v>118</v>
      </c>
    </row>
    <row r="22" spans="1:19" x14ac:dyDescent="0.3">
      <c r="A22" s="1" t="s">
        <v>21</v>
      </c>
      <c r="B22" s="1" t="s">
        <v>53</v>
      </c>
      <c r="C22" s="1">
        <v>182.5</v>
      </c>
      <c r="D22" s="1">
        <v>183.4</v>
      </c>
      <c r="E22" s="1">
        <v>182.8</v>
      </c>
      <c r="G22" t="s">
        <v>72</v>
      </c>
    </row>
    <row r="23" spans="1:19" x14ac:dyDescent="0.3">
      <c r="A23" s="1" t="s">
        <v>22</v>
      </c>
      <c r="B23" s="1" t="s">
        <v>20</v>
      </c>
      <c r="C23" s="1">
        <v>179.8</v>
      </c>
      <c r="D23" s="1">
        <v>170.1</v>
      </c>
      <c r="E23" s="1">
        <v>175.2</v>
      </c>
    </row>
    <row r="24" spans="1:19" x14ac:dyDescent="0.3">
      <c r="A24" s="1" t="s">
        <v>23</v>
      </c>
      <c r="B24" s="1" t="s">
        <v>23</v>
      </c>
      <c r="C24" s="1">
        <v>187.8</v>
      </c>
      <c r="D24" s="1">
        <v>182.2</v>
      </c>
      <c r="E24" s="1">
        <v>185.7</v>
      </c>
      <c r="G24" t="s">
        <v>74</v>
      </c>
    </row>
    <row r="25" spans="1:19" x14ac:dyDescent="0.3">
      <c r="A25" s="1" t="s">
        <v>24</v>
      </c>
      <c r="B25" s="1" t="s">
        <v>24</v>
      </c>
      <c r="C25" s="1">
        <v>169.7</v>
      </c>
      <c r="D25" s="1">
        <v>160.4</v>
      </c>
      <c r="E25" s="1">
        <v>164.8</v>
      </c>
    </row>
    <row r="26" spans="1:19" x14ac:dyDescent="0.3">
      <c r="A26" s="1" t="s">
        <v>25</v>
      </c>
      <c r="B26" s="1" t="s">
        <v>52</v>
      </c>
      <c r="C26" s="1">
        <v>173.8</v>
      </c>
      <c r="D26" s="1">
        <v>169.2</v>
      </c>
      <c r="E26" s="1">
        <v>171.2</v>
      </c>
      <c r="G26" t="s">
        <v>75</v>
      </c>
    </row>
    <row r="27" spans="1:19" ht="21" x14ac:dyDescent="0.3">
      <c r="A27" s="1" t="s">
        <v>26</v>
      </c>
      <c r="B27" s="1" t="s">
        <v>26</v>
      </c>
      <c r="C27" s="1">
        <v>180.3</v>
      </c>
      <c r="D27" s="1">
        <v>174.8</v>
      </c>
      <c r="E27" s="1">
        <v>177.1</v>
      </c>
      <c r="M27" s="15"/>
    </row>
    <row r="28" spans="1:19" x14ac:dyDescent="0.3">
      <c r="A28" s="1" t="s">
        <v>27</v>
      </c>
      <c r="B28" s="1" t="s">
        <v>52</v>
      </c>
      <c r="C28" s="1">
        <v>184.9</v>
      </c>
      <c r="D28" s="1">
        <v>185.6</v>
      </c>
      <c r="E28" s="1">
        <v>185.2</v>
      </c>
    </row>
    <row r="29" spans="1:19" x14ac:dyDescent="0.3">
      <c r="A29" s="1" t="s">
        <v>28</v>
      </c>
      <c r="B29" s="1" t="s">
        <v>54</v>
      </c>
      <c r="C29" s="1">
        <v>179.5</v>
      </c>
      <c r="D29" s="1">
        <v>171.6</v>
      </c>
      <c r="E29" s="1">
        <v>175.7</v>
      </c>
    </row>
    <row r="33" spans="1:10" ht="28.8" x14ac:dyDescent="0.3">
      <c r="A33" s="5" t="s">
        <v>55</v>
      </c>
      <c r="B33" s="5" t="s">
        <v>56</v>
      </c>
      <c r="C33" s="14" t="s">
        <v>115</v>
      </c>
      <c r="D33" s="14" t="s">
        <v>116</v>
      </c>
      <c r="E33" s="14" t="s">
        <v>117</v>
      </c>
    </row>
    <row r="34" spans="1:10" x14ac:dyDescent="0.3">
      <c r="A34" s="1" t="s">
        <v>3</v>
      </c>
      <c r="B34" s="1" t="s">
        <v>51</v>
      </c>
      <c r="C34" s="1">
        <v>173.2</v>
      </c>
      <c r="D34" s="1">
        <v>174.7</v>
      </c>
      <c r="E34" s="1">
        <v>173.7</v>
      </c>
    </row>
    <row r="35" spans="1:10" x14ac:dyDescent="0.3">
      <c r="A35" s="1" t="s">
        <v>4</v>
      </c>
      <c r="B35" s="1" t="s">
        <v>51</v>
      </c>
      <c r="C35" s="1">
        <v>211.5</v>
      </c>
      <c r="D35" s="1">
        <v>219.4</v>
      </c>
      <c r="E35" s="1">
        <v>214.3</v>
      </c>
      <c r="H35" s="3" t="s">
        <v>122</v>
      </c>
    </row>
    <row r="36" spans="1:10" x14ac:dyDescent="0.3">
      <c r="A36" s="1" t="s">
        <v>5</v>
      </c>
      <c r="B36" s="1" t="s">
        <v>51</v>
      </c>
      <c r="C36" s="1">
        <v>171</v>
      </c>
      <c r="D36" s="1">
        <v>176.7</v>
      </c>
      <c r="E36" s="1">
        <v>173.2</v>
      </c>
      <c r="G36" s="3" t="s">
        <v>56</v>
      </c>
      <c r="H36" t="s">
        <v>125</v>
      </c>
      <c r="I36" t="s">
        <v>124</v>
      </c>
      <c r="J36" t="s">
        <v>121</v>
      </c>
    </row>
    <row r="37" spans="1:10" x14ac:dyDescent="0.3">
      <c r="A37" s="1" t="s">
        <v>6</v>
      </c>
      <c r="B37" s="1" t="s">
        <v>51</v>
      </c>
      <c r="C37" s="1">
        <v>179.6</v>
      </c>
      <c r="D37" s="1">
        <v>179.4</v>
      </c>
      <c r="E37" s="1">
        <v>179.5</v>
      </c>
      <c r="G37" t="s">
        <v>17</v>
      </c>
      <c r="H37" s="4">
        <v>0.12667822530452563</v>
      </c>
      <c r="I37" s="4">
        <v>0.1139218686030727</v>
      </c>
      <c r="J37" s="4">
        <v>0.11885527672739775</v>
      </c>
    </row>
    <row r="38" spans="1:10" x14ac:dyDescent="0.3">
      <c r="A38" s="1" t="s">
        <v>7</v>
      </c>
      <c r="B38" s="1" t="s">
        <v>51</v>
      </c>
      <c r="C38" s="1">
        <v>173.3</v>
      </c>
      <c r="D38" s="1">
        <v>164.4</v>
      </c>
      <c r="E38" s="1">
        <v>170</v>
      </c>
      <c r="G38" t="s">
        <v>26</v>
      </c>
      <c r="H38" s="4">
        <v>4.0077353961056272E-2</v>
      </c>
      <c r="I38" s="4">
        <v>3.766510806093646E-2</v>
      </c>
      <c r="J38" s="4">
        <v>3.8050017188037126E-2</v>
      </c>
    </row>
    <row r="39" spans="1:10" x14ac:dyDescent="0.3">
      <c r="A39" s="1" t="s">
        <v>8</v>
      </c>
      <c r="B39" s="1" t="s">
        <v>51</v>
      </c>
      <c r="C39" s="1">
        <v>169</v>
      </c>
      <c r="D39" s="1">
        <v>175.8</v>
      </c>
      <c r="E39" s="1">
        <v>172.2</v>
      </c>
      <c r="G39" t="s">
        <v>53</v>
      </c>
      <c r="H39" s="4">
        <v>4.0566373255090236E-2</v>
      </c>
      <c r="I39" s="4">
        <v>3.9518196901463083E-2</v>
      </c>
      <c r="J39" s="4">
        <v>3.9274664833276046E-2</v>
      </c>
    </row>
    <row r="40" spans="1:10" x14ac:dyDescent="0.3">
      <c r="A40" s="1" t="s">
        <v>9</v>
      </c>
      <c r="B40" s="1" t="s">
        <v>51</v>
      </c>
      <c r="C40" s="1">
        <v>148.69999999999999</v>
      </c>
      <c r="D40" s="1">
        <v>185</v>
      </c>
      <c r="E40" s="1">
        <v>161</v>
      </c>
      <c r="G40" t="s">
        <v>51</v>
      </c>
      <c r="H40" s="4">
        <v>0.50918022583800127</v>
      </c>
      <c r="I40" s="4">
        <v>0.50315671529229244</v>
      </c>
      <c r="J40" s="4">
        <v>0.49563853557923693</v>
      </c>
    </row>
    <row r="41" spans="1:10" x14ac:dyDescent="0.3">
      <c r="A41" s="1" t="s">
        <v>10</v>
      </c>
      <c r="B41" s="1" t="s">
        <v>51</v>
      </c>
      <c r="C41" s="1">
        <v>174.9</v>
      </c>
      <c r="D41" s="1">
        <v>176.9</v>
      </c>
      <c r="E41" s="1">
        <v>175.6</v>
      </c>
      <c r="G41" t="s">
        <v>23</v>
      </c>
      <c r="H41" s="4">
        <v>4.174446519071752E-2</v>
      </c>
      <c r="I41" s="4">
        <v>3.9259626365575645E-2</v>
      </c>
      <c r="J41" s="4">
        <v>3.9897731179099345E-2</v>
      </c>
    </row>
    <row r="42" spans="1:10" x14ac:dyDescent="0.3">
      <c r="A42" s="1" t="s">
        <v>11</v>
      </c>
      <c r="B42" s="1" t="s">
        <v>51</v>
      </c>
      <c r="C42" s="1">
        <v>121.9</v>
      </c>
      <c r="D42" s="1">
        <v>124.2</v>
      </c>
      <c r="E42" s="1">
        <v>122.7</v>
      </c>
      <c r="G42" t="s">
        <v>20</v>
      </c>
      <c r="H42" s="4">
        <v>3.9966213212412192E-2</v>
      </c>
      <c r="I42" s="4">
        <v>7.4489861880238747E-2</v>
      </c>
      <c r="J42" s="4">
        <v>7.5369542798212438E-2</v>
      </c>
    </row>
    <row r="43" spans="1:10" x14ac:dyDescent="0.3">
      <c r="A43" s="1" t="s">
        <v>12</v>
      </c>
      <c r="B43" s="1" t="s">
        <v>51</v>
      </c>
      <c r="C43" s="1">
        <v>221</v>
      </c>
      <c r="D43" s="1">
        <v>211.9</v>
      </c>
      <c r="E43" s="1">
        <v>218</v>
      </c>
      <c r="G43" t="s">
        <v>52</v>
      </c>
      <c r="H43" s="4">
        <v>0.12416644438516936</v>
      </c>
      <c r="I43" s="4">
        <v>0.12045077463423044</v>
      </c>
      <c r="J43" s="4">
        <v>0.11975764867652114</v>
      </c>
    </row>
    <row r="44" spans="1:10" x14ac:dyDescent="0.3">
      <c r="A44" s="1" t="s">
        <v>13</v>
      </c>
      <c r="B44" s="1" t="s">
        <v>51</v>
      </c>
      <c r="C44" s="1">
        <v>178.7</v>
      </c>
      <c r="D44" s="1">
        <v>165.9</v>
      </c>
      <c r="E44" s="1">
        <v>173.4</v>
      </c>
      <c r="G44" t="s">
        <v>54</v>
      </c>
      <c r="H44" s="4">
        <v>3.9899528763225736E-2</v>
      </c>
      <c r="I44" s="4">
        <v>3.6975586631903298E-2</v>
      </c>
      <c r="J44" s="4">
        <v>3.7749226538329322E-2</v>
      </c>
    </row>
    <row r="45" spans="1:10" x14ac:dyDescent="0.3">
      <c r="A45" s="1" t="s">
        <v>14</v>
      </c>
      <c r="B45" s="1" t="s">
        <v>51</v>
      </c>
      <c r="C45" s="1">
        <v>191.1</v>
      </c>
      <c r="D45" s="1">
        <v>197.7</v>
      </c>
      <c r="E45" s="1">
        <v>194.2</v>
      </c>
      <c r="G45" t="s">
        <v>24</v>
      </c>
      <c r="H45" s="4">
        <v>3.7721170089801713E-2</v>
      </c>
      <c r="I45" s="4">
        <v>3.4562261630287236E-2</v>
      </c>
      <c r="J45" s="4">
        <v>3.5407356479890004E-2</v>
      </c>
    </row>
    <row r="46" spans="1:10" x14ac:dyDescent="0.3">
      <c r="A46" s="1" t="s">
        <v>15</v>
      </c>
      <c r="B46" s="1" t="s">
        <v>51</v>
      </c>
      <c r="C46" s="1">
        <v>176.8</v>
      </c>
      <c r="D46" s="1">
        <v>183.1</v>
      </c>
      <c r="E46" s="1">
        <v>179.1</v>
      </c>
      <c r="G46" t="s">
        <v>57</v>
      </c>
      <c r="H46" s="4">
        <v>1</v>
      </c>
      <c r="I46" s="4">
        <v>1</v>
      </c>
      <c r="J46" s="4">
        <v>1</v>
      </c>
    </row>
    <row r="47" spans="1:10" x14ac:dyDescent="0.3">
      <c r="A47" s="1" t="s">
        <v>16</v>
      </c>
      <c r="B47" s="1" t="s">
        <v>52</v>
      </c>
      <c r="C47" s="1">
        <v>199.9</v>
      </c>
      <c r="D47" s="1">
        <v>204.2</v>
      </c>
      <c r="E47" s="1">
        <v>201</v>
      </c>
    </row>
    <row r="48" spans="1:10" x14ac:dyDescent="0.3">
      <c r="A48" s="1" t="s">
        <v>17</v>
      </c>
      <c r="B48" s="1" t="s">
        <v>17</v>
      </c>
      <c r="C48" s="1">
        <v>191.2</v>
      </c>
      <c r="D48" s="1">
        <v>181.3</v>
      </c>
      <c r="E48" s="1">
        <v>187.3</v>
      </c>
      <c r="G48" s="61" t="s">
        <v>126</v>
      </c>
      <c r="H48" s="61"/>
      <c r="I48" s="61"/>
      <c r="J48" s="61"/>
    </row>
    <row r="49" spans="1:10" x14ac:dyDescent="0.3">
      <c r="A49" s="1" t="s">
        <v>18</v>
      </c>
      <c r="B49" s="1" t="s">
        <v>17</v>
      </c>
      <c r="C49" s="1">
        <v>187.9</v>
      </c>
      <c r="D49" s="1">
        <v>168.1</v>
      </c>
      <c r="E49" s="1">
        <v>179.7</v>
      </c>
      <c r="G49" s="61"/>
      <c r="H49" s="61"/>
      <c r="I49" s="61"/>
      <c r="J49" s="61"/>
    </row>
    <row r="50" spans="1:10" x14ac:dyDescent="0.3">
      <c r="A50" s="1" t="s">
        <v>19</v>
      </c>
      <c r="B50" s="1" t="s">
        <v>17</v>
      </c>
      <c r="C50" s="1">
        <v>190.8</v>
      </c>
      <c r="D50" s="1">
        <v>179.3</v>
      </c>
      <c r="E50" s="1">
        <v>186.2</v>
      </c>
    </row>
    <row r="51" spans="1:10" x14ac:dyDescent="0.3">
      <c r="A51" s="1" t="s">
        <v>20</v>
      </c>
      <c r="B51" s="1" t="s">
        <v>20</v>
      </c>
      <c r="C51" s="1" t="s">
        <v>48</v>
      </c>
      <c r="D51" s="1">
        <v>175.6</v>
      </c>
      <c r="E51" s="1">
        <v>175.6</v>
      </c>
    </row>
    <row r="52" spans="1:10" x14ac:dyDescent="0.3">
      <c r="A52" s="1" t="s">
        <v>21</v>
      </c>
      <c r="B52" s="1" t="s">
        <v>53</v>
      </c>
      <c r="C52" s="1">
        <v>182.5</v>
      </c>
      <c r="D52" s="1">
        <v>183.4</v>
      </c>
      <c r="E52" s="1">
        <v>182.8</v>
      </c>
    </row>
    <row r="53" spans="1:10" x14ac:dyDescent="0.3">
      <c r="A53" s="1" t="s">
        <v>22</v>
      </c>
      <c r="B53" s="1" t="s">
        <v>20</v>
      </c>
      <c r="C53" s="1">
        <v>179.8</v>
      </c>
      <c r="D53" s="1">
        <v>170.1</v>
      </c>
      <c r="E53" s="1">
        <v>175.2</v>
      </c>
    </row>
    <row r="54" spans="1:10" x14ac:dyDescent="0.3">
      <c r="A54" s="1" t="s">
        <v>23</v>
      </c>
      <c r="B54" s="1" t="s">
        <v>23</v>
      </c>
      <c r="C54" s="1">
        <v>187.8</v>
      </c>
      <c r="D54" s="1">
        <v>182.2</v>
      </c>
      <c r="E54" s="1">
        <v>185.7</v>
      </c>
    </row>
    <row r="55" spans="1:10" x14ac:dyDescent="0.3">
      <c r="A55" s="1" t="s">
        <v>24</v>
      </c>
      <c r="B55" s="1" t="s">
        <v>24</v>
      </c>
      <c r="C55" s="1">
        <v>169.7</v>
      </c>
      <c r="D55" s="1">
        <v>160.4</v>
      </c>
      <c r="E55" s="1">
        <v>164.8</v>
      </c>
    </row>
    <row r="56" spans="1:10" x14ac:dyDescent="0.3">
      <c r="A56" s="1" t="s">
        <v>25</v>
      </c>
      <c r="B56" s="1" t="s">
        <v>52</v>
      </c>
      <c r="C56" s="1">
        <v>173.8</v>
      </c>
      <c r="D56" s="1">
        <v>169.2</v>
      </c>
      <c r="E56" s="1">
        <v>171.2</v>
      </c>
    </row>
    <row r="57" spans="1:10" x14ac:dyDescent="0.3">
      <c r="A57" s="1" t="s">
        <v>26</v>
      </c>
      <c r="B57" s="1" t="s">
        <v>26</v>
      </c>
      <c r="C57" s="1">
        <v>180.3</v>
      </c>
      <c r="D57" s="1">
        <v>174.8</v>
      </c>
      <c r="E57" s="1">
        <v>177.1</v>
      </c>
    </row>
    <row r="58" spans="1:10" x14ac:dyDescent="0.3">
      <c r="A58" s="1" t="s">
        <v>27</v>
      </c>
      <c r="B58" s="1" t="s">
        <v>52</v>
      </c>
      <c r="C58" s="1">
        <v>184.9</v>
      </c>
      <c r="D58" s="1">
        <v>185.6</v>
      </c>
      <c r="E58" s="1">
        <v>185.2</v>
      </c>
    </row>
    <row r="59" spans="1:10" x14ac:dyDescent="0.3">
      <c r="A59" s="1" t="s">
        <v>28</v>
      </c>
      <c r="B59" s="1" t="s">
        <v>54</v>
      </c>
      <c r="C59" s="1">
        <v>179.5</v>
      </c>
      <c r="D59" s="1">
        <v>171.6</v>
      </c>
      <c r="E59" s="1">
        <v>175.7</v>
      </c>
    </row>
  </sheetData>
  <mergeCells count="7">
    <mergeCell ref="G48:J49"/>
    <mergeCell ref="P3:S5"/>
    <mergeCell ref="M3:N5"/>
    <mergeCell ref="G3:H5"/>
    <mergeCell ref="A1:E1"/>
    <mergeCell ref="J3:K5"/>
    <mergeCell ref="G20:H20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8336-109F-42D6-B318-5690CB06B79C}">
  <dimension ref="A1:AF28"/>
  <sheetViews>
    <sheetView zoomScale="90" zoomScaleNormal="100" workbookViewId="0">
      <selection activeCell="Q15" sqref="Q15"/>
    </sheetView>
  </sheetViews>
  <sheetFormatPr defaultRowHeight="14.4" x14ac:dyDescent="0.3"/>
  <cols>
    <col min="1" max="1" width="11.88671875" bestFit="1" customWidth="1"/>
    <col min="2" max="2" width="5.5546875" bestFit="1" customWidth="1"/>
    <col min="3" max="3" width="7" bestFit="1" customWidth="1"/>
    <col min="4" max="4" width="9.21875" bestFit="1" customWidth="1"/>
    <col min="5" max="5" width="10.33203125" bestFit="1" customWidth="1"/>
    <col min="7" max="7" width="3" bestFit="1" customWidth="1"/>
    <col min="30" max="30" width="2.21875" bestFit="1" customWidth="1"/>
    <col min="32" max="32" width="2.21875" bestFit="1" customWidth="1"/>
  </cols>
  <sheetData>
    <row r="1" spans="1:32" x14ac:dyDescent="0.3">
      <c r="AF1">
        <v>1</v>
      </c>
    </row>
    <row r="2" spans="1:32" x14ac:dyDescent="0.3">
      <c r="AF2">
        <v>2</v>
      </c>
    </row>
    <row r="3" spans="1:32" x14ac:dyDescent="0.3">
      <c r="A3" s="66" t="s">
        <v>81</v>
      </c>
      <c r="B3" s="67"/>
      <c r="C3" s="67"/>
      <c r="D3" s="67"/>
      <c r="E3" s="67"/>
      <c r="AD3">
        <v>1</v>
      </c>
      <c r="AF3">
        <v>3</v>
      </c>
    </row>
    <row r="4" spans="1:32" x14ac:dyDescent="0.3">
      <c r="A4" s="67"/>
      <c r="B4" s="67"/>
      <c r="C4" s="67"/>
      <c r="D4" s="67"/>
      <c r="E4" s="67"/>
      <c r="AD4">
        <v>2</v>
      </c>
    </row>
    <row r="5" spans="1:32" x14ac:dyDescent="0.3">
      <c r="A5" s="5" t="s">
        <v>0</v>
      </c>
      <c r="B5" s="5" t="s">
        <v>1</v>
      </c>
      <c r="C5" s="5" t="s">
        <v>2</v>
      </c>
      <c r="D5" s="8" t="s">
        <v>79</v>
      </c>
      <c r="E5" s="10" t="s">
        <v>80</v>
      </c>
      <c r="AD5">
        <v>3</v>
      </c>
    </row>
    <row r="6" spans="1:32" x14ac:dyDescent="0.3">
      <c r="A6" s="1" t="s">
        <v>34</v>
      </c>
      <c r="B6" s="1">
        <v>2017</v>
      </c>
      <c r="C6" s="1" t="s">
        <v>38</v>
      </c>
      <c r="D6" s="9">
        <v>131.4</v>
      </c>
      <c r="E6" s="11"/>
    </row>
    <row r="7" spans="1:32" x14ac:dyDescent="0.3">
      <c r="A7" s="1" t="s">
        <v>34</v>
      </c>
      <c r="B7" s="1">
        <v>2018</v>
      </c>
      <c r="C7" s="1" t="s">
        <v>38</v>
      </c>
      <c r="D7" s="9">
        <v>137.80000000000001</v>
      </c>
      <c r="E7" s="17">
        <f>(D7-D6)/D7</f>
        <v>4.6444121915820064E-2</v>
      </c>
    </row>
    <row r="8" spans="1:32" x14ac:dyDescent="0.3">
      <c r="A8" s="1" t="s">
        <v>34</v>
      </c>
      <c r="B8" s="1">
        <v>2019</v>
      </c>
      <c r="C8" s="1" t="s">
        <v>38</v>
      </c>
      <c r="D8" s="9">
        <v>142</v>
      </c>
      <c r="E8" s="17">
        <f t="shared" ref="E8:E12" si="0">(D8-D7)/D8</f>
        <v>2.9577464788732313E-2</v>
      </c>
    </row>
    <row r="9" spans="1:32" x14ac:dyDescent="0.3">
      <c r="A9" s="1" t="s">
        <v>34</v>
      </c>
      <c r="B9" s="1">
        <v>2020</v>
      </c>
      <c r="C9" s="1" t="s">
        <v>38</v>
      </c>
      <c r="D9" s="9">
        <v>151</v>
      </c>
      <c r="E9" s="17">
        <f t="shared" si="0"/>
        <v>5.9602649006622516E-2</v>
      </c>
    </row>
    <row r="10" spans="1:32" x14ac:dyDescent="0.3">
      <c r="A10" s="1" t="s">
        <v>34</v>
      </c>
      <c r="B10" s="1">
        <v>2021</v>
      </c>
      <c r="C10" s="1" t="s">
        <v>38</v>
      </c>
      <c r="D10" s="9">
        <v>160.4</v>
      </c>
      <c r="E10" s="17">
        <f t="shared" si="0"/>
        <v>5.8603491271820483E-2</v>
      </c>
    </row>
    <row r="11" spans="1:32" x14ac:dyDescent="0.3">
      <c r="A11" s="1" t="s">
        <v>34</v>
      </c>
      <c r="B11" s="7">
        <v>2022</v>
      </c>
      <c r="C11" s="1" t="s">
        <v>38</v>
      </c>
      <c r="D11" s="9">
        <v>171.7</v>
      </c>
      <c r="E11" s="18">
        <f t="shared" si="0"/>
        <v>6.5812463599301013E-2</v>
      </c>
    </row>
    <row r="12" spans="1:32" x14ac:dyDescent="0.3">
      <c r="A12" s="1" t="s">
        <v>34</v>
      </c>
      <c r="B12" s="1">
        <v>2023</v>
      </c>
      <c r="C12" s="1" t="s">
        <v>38</v>
      </c>
      <c r="D12" s="9">
        <v>179.1</v>
      </c>
      <c r="E12" s="17">
        <f t="shared" si="0"/>
        <v>4.1317699609156926E-2</v>
      </c>
    </row>
    <row r="20" spans="6:19" ht="15.6" x14ac:dyDescent="0.3">
      <c r="F20" s="65" t="s">
        <v>91</v>
      </c>
      <c r="G20" s="65"/>
    </row>
    <row r="21" spans="6:19" x14ac:dyDescent="0.3">
      <c r="F21" s="69" t="s">
        <v>76</v>
      </c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</row>
    <row r="23" spans="6:19" x14ac:dyDescent="0.3">
      <c r="F23" s="68" t="s">
        <v>119</v>
      </c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 spans="6:19" x14ac:dyDescent="0.3"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</row>
    <row r="26" spans="6:19" x14ac:dyDescent="0.3">
      <c r="F26" s="69" t="s">
        <v>77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</row>
    <row r="28" spans="6:19" x14ac:dyDescent="0.3">
      <c r="F28" s="69" t="s">
        <v>78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</row>
  </sheetData>
  <mergeCells count="6">
    <mergeCell ref="A3:E4"/>
    <mergeCell ref="F23:S24"/>
    <mergeCell ref="F26:P26"/>
    <mergeCell ref="F28:R28"/>
    <mergeCell ref="F21:S21"/>
    <mergeCell ref="F20:G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40D2-5C84-4A09-8A77-0BCB9F1EC926}">
  <dimension ref="A2:AZ81"/>
  <sheetViews>
    <sheetView topLeftCell="A4" zoomScale="109" zoomScaleNormal="85" workbookViewId="0">
      <selection activeCell="W40" sqref="W40"/>
    </sheetView>
  </sheetViews>
  <sheetFormatPr defaultRowHeight="14.4" x14ac:dyDescent="0.3"/>
  <cols>
    <col min="1" max="1" width="11.6640625" customWidth="1"/>
    <col min="2" max="2" width="5" bestFit="1" customWidth="1"/>
    <col min="3" max="3" width="10.6640625" bestFit="1" customWidth="1"/>
    <col min="4" max="4" width="29.77734375" bestFit="1" customWidth="1"/>
    <col min="5" max="5" width="12.5546875" bestFit="1" customWidth="1"/>
    <col min="6" max="11" width="12.88671875" customWidth="1"/>
    <col min="12" max="12" width="12.21875" bestFit="1" customWidth="1"/>
    <col min="13" max="13" width="34.109375" bestFit="1" customWidth="1"/>
    <col min="14" max="14" width="22.6640625" bestFit="1" customWidth="1"/>
    <col min="15" max="15" width="18.44140625" bestFit="1" customWidth="1"/>
    <col min="16" max="16" width="20.44140625" bestFit="1" customWidth="1"/>
    <col min="17" max="24" width="12.88671875" customWidth="1"/>
    <col min="25" max="25" width="6" bestFit="1" customWidth="1"/>
    <col min="26" max="26" width="18.77734375" bestFit="1" customWidth="1"/>
    <col min="27" max="27" width="12.33203125" bestFit="1" customWidth="1"/>
    <col min="28" max="28" width="12.5546875" bestFit="1" customWidth="1"/>
    <col min="29" max="29" width="12.33203125" bestFit="1" customWidth="1"/>
    <col min="30" max="30" width="6" bestFit="1" customWidth="1"/>
    <col min="31" max="31" width="12.33203125" bestFit="1" customWidth="1"/>
    <col min="32" max="32" width="16.33203125" bestFit="1" customWidth="1"/>
    <col min="33" max="33" width="12.33203125" bestFit="1" customWidth="1"/>
    <col min="34" max="34" width="18" bestFit="1" customWidth="1"/>
    <col min="35" max="35" width="12.33203125" bestFit="1" customWidth="1"/>
    <col min="36" max="36" width="22.109375" bestFit="1" customWidth="1"/>
    <col min="37" max="37" width="12.33203125" bestFit="1" customWidth="1"/>
    <col min="38" max="38" width="10.21875" bestFit="1" customWidth="1"/>
    <col min="39" max="39" width="12.6640625" bestFit="1" customWidth="1"/>
    <col min="40" max="40" width="22" bestFit="1" customWidth="1"/>
    <col min="41" max="41" width="12.33203125" bestFit="1" customWidth="1"/>
    <col min="42" max="42" width="31.33203125" bestFit="1" customWidth="1"/>
    <col min="43" max="43" width="12.33203125" bestFit="1" customWidth="1"/>
    <col min="44" max="44" width="18.109375" bestFit="1" customWidth="1"/>
    <col min="45" max="45" width="12.33203125" bestFit="1" customWidth="1"/>
    <col min="46" max="46" width="22" bestFit="1" customWidth="1"/>
    <col min="47" max="47" width="12.33203125" bestFit="1" customWidth="1"/>
    <col min="48" max="48" width="31.33203125" bestFit="1" customWidth="1"/>
    <col min="49" max="49" width="12.33203125" bestFit="1" customWidth="1"/>
    <col min="50" max="50" width="18.109375" bestFit="1" customWidth="1"/>
    <col min="51" max="51" width="12.33203125" bestFit="1" customWidth="1"/>
    <col min="52" max="52" width="7" bestFit="1" customWidth="1"/>
  </cols>
  <sheetData>
    <row r="2" spans="1:51" x14ac:dyDescent="0.3">
      <c r="A2" s="71" t="s">
        <v>103</v>
      </c>
      <c r="B2" s="71"/>
      <c r="C2" s="71"/>
      <c r="D2" s="71"/>
      <c r="E2" s="71"/>
      <c r="F2" s="71"/>
      <c r="G2" s="71"/>
      <c r="H2" s="71"/>
    </row>
    <row r="3" spans="1:51" x14ac:dyDescent="0.3">
      <c r="A3" s="71"/>
      <c r="B3" s="71"/>
      <c r="C3" s="71"/>
      <c r="D3" s="71"/>
      <c r="E3" s="71"/>
      <c r="F3" s="71"/>
      <c r="G3" s="71"/>
      <c r="H3" s="71"/>
    </row>
    <row r="4" spans="1:51" ht="18" x14ac:dyDescent="0.35">
      <c r="A4" s="41"/>
      <c r="B4" s="41"/>
      <c r="C4" s="41"/>
      <c r="D4" s="41"/>
      <c r="E4" s="41"/>
      <c r="F4" s="41"/>
      <c r="G4" s="41"/>
      <c r="H4" s="41"/>
    </row>
    <row r="5" spans="1:51" ht="18" x14ac:dyDescent="0.35">
      <c r="A5" s="70" t="s">
        <v>104</v>
      </c>
      <c r="B5" s="70"/>
      <c r="C5" s="70"/>
      <c r="D5" s="70"/>
      <c r="E5" s="41"/>
      <c r="F5" s="41"/>
      <c r="G5" s="41"/>
      <c r="H5" s="41"/>
      <c r="L5" s="70" t="s">
        <v>105</v>
      </c>
      <c r="M5" s="70"/>
      <c r="N5" s="70"/>
    </row>
    <row r="7" spans="1:51" x14ac:dyDescent="0.3">
      <c r="A7" s="5" t="s">
        <v>0</v>
      </c>
      <c r="B7" s="5" t="s">
        <v>1</v>
      </c>
      <c r="C7" s="5" t="s">
        <v>2</v>
      </c>
      <c r="D7" s="8" t="s">
        <v>68</v>
      </c>
      <c r="E7" s="49" t="s">
        <v>67</v>
      </c>
      <c r="F7" s="48"/>
      <c r="G7" s="48"/>
      <c r="H7" s="48"/>
      <c r="I7" s="48"/>
      <c r="J7" s="48"/>
      <c r="K7" s="48"/>
      <c r="L7" s="8" t="s">
        <v>0</v>
      </c>
      <c r="M7" s="8" t="s">
        <v>99</v>
      </c>
      <c r="N7" s="8" t="s">
        <v>100</v>
      </c>
      <c r="O7" s="8" t="s">
        <v>101</v>
      </c>
      <c r="P7" s="10" t="s">
        <v>102</v>
      </c>
      <c r="Q7" s="2"/>
      <c r="R7" s="48"/>
      <c r="S7" s="48"/>
      <c r="T7" s="48"/>
      <c r="U7" s="48"/>
      <c r="V7" s="48"/>
      <c r="W7" s="48"/>
      <c r="X7" s="48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3">
      <c r="A8" s="1" t="s">
        <v>30</v>
      </c>
      <c r="B8" s="1">
        <v>2022</v>
      </c>
      <c r="C8" s="1" t="s">
        <v>39</v>
      </c>
      <c r="D8" s="9">
        <v>2248.3000000000002</v>
      </c>
      <c r="E8" s="17"/>
      <c r="F8" s="12"/>
      <c r="G8" s="12"/>
      <c r="H8" s="12"/>
      <c r="I8" s="12"/>
      <c r="J8" s="12"/>
      <c r="K8" s="12"/>
      <c r="L8" s="9" t="s">
        <v>30</v>
      </c>
      <c r="M8" s="9" t="s">
        <v>3</v>
      </c>
      <c r="N8" s="9">
        <v>153.80000000000001</v>
      </c>
      <c r="O8" s="9">
        <v>173.2</v>
      </c>
      <c r="P8" s="54">
        <f>(O8-N8)/O8</f>
        <v>0.11200923787528856</v>
      </c>
      <c r="Q8" s="12"/>
      <c r="R8" s="12"/>
      <c r="S8" s="12"/>
      <c r="T8" s="12"/>
      <c r="U8" s="12"/>
      <c r="V8" s="12"/>
      <c r="W8" s="12"/>
      <c r="X8" s="12"/>
    </row>
    <row r="9" spans="1:51" x14ac:dyDescent="0.3">
      <c r="A9" s="1" t="s">
        <v>30</v>
      </c>
      <c r="B9" s="1">
        <v>2022</v>
      </c>
      <c r="C9" s="1" t="s">
        <v>40</v>
      </c>
      <c r="D9" s="9">
        <v>2252.5</v>
      </c>
      <c r="E9" s="17">
        <f>(D9-D8)/D9</f>
        <v>1.8645948945615175E-3</v>
      </c>
      <c r="F9" s="12"/>
      <c r="G9" s="12"/>
      <c r="H9" s="12"/>
      <c r="I9" s="12"/>
      <c r="J9" s="12"/>
      <c r="K9" s="12"/>
      <c r="L9" s="9" t="s">
        <v>30</v>
      </c>
      <c r="M9" s="9" t="s">
        <v>4</v>
      </c>
      <c r="N9" s="9">
        <v>217.2</v>
      </c>
      <c r="O9" s="9">
        <v>211.5</v>
      </c>
      <c r="P9" s="54">
        <f>(N9-O9)/O9</f>
        <v>2.6950354609929023E-2</v>
      </c>
      <c r="Q9" s="12"/>
      <c r="R9" s="12"/>
      <c r="S9" s="12"/>
      <c r="T9" s="12"/>
      <c r="U9" s="12"/>
      <c r="V9" s="12"/>
      <c r="W9" s="12"/>
      <c r="X9" s="12"/>
      <c r="AA9" s="12"/>
      <c r="AC9" s="12"/>
      <c r="AE9" s="12"/>
      <c r="AG9" s="12"/>
      <c r="AI9" s="12"/>
      <c r="AK9" s="12"/>
      <c r="AO9" s="12"/>
      <c r="AQ9" s="12"/>
      <c r="AS9" s="12"/>
      <c r="AU9" s="12"/>
      <c r="AW9" s="12"/>
      <c r="AY9" s="12"/>
    </row>
    <row r="10" spans="1:51" x14ac:dyDescent="0.3">
      <c r="A10" s="1" t="s">
        <v>30</v>
      </c>
      <c r="B10" s="1">
        <v>2022</v>
      </c>
      <c r="C10" s="1" t="s">
        <v>41</v>
      </c>
      <c r="D10" s="9">
        <v>2255.7999999999997</v>
      </c>
      <c r="E10" s="17">
        <f>(D10-D9)/D10</f>
        <v>1.4628956467770758E-3</v>
      </c>
      <c r="F10" s="12"/>
      <c r="G10" s="12"/>
      <c r="H10" s="12"/>
      <c r="I10" s="12"/>
      <c r="J10" s="12"/>
      <c r="K10" s="12"/>
      <c r="L10" s="9" t="s">
        <v>30</v>
      </c>
      <c r="M10" s="9" t="s">
        <v>5</v>
      </c>
      <c r="N10" s="9">
        <v>169.6</v>
      </c>
      <c r="O10" s="9">
        <v>171</v>
      </c>
      <c r="P10" s="54">
        <f t="shared" ref="P10:P20" si="0">(O10-N10)/O10</f>
        <v>8.1871345029240102E-3</v>
      </c>
      <c r="Q10" s="12"/>
      <c r="R10" s="12"/>
      <c r="S10" s="12"/>
      <c r="T10" s="12"/>
      <c r="U10" s="12"/>
      <c r="V10" s="12"/>
      <c r="W10" s="12"/>
      <c r="X10" s="12"/>
      <c r="AA10" s="12"/>
      <c r="AC10" s="12"/>
      <c r="AE10" s="12"/>
      <c r="AG10" s="12"/>
      <c r="AI10" s="12"/>
      <c r="AK10" s="12"/>
      <c r="AO10" s="12"/>
      <c r="AQ10" s="12"/>
      <c r="AS10" s="12"/>
      <c r="AU10" s="12"/>
      <c r="AW10" s="12"/>
      <c r="AY10" s="12"/>
    </row>
    <row r="11" spans="1:51" x14ac:dyDescent="0.3">
      <c r="A11" s="1" t="s">
        <v>30</v>
      </c>
      <c r="B11" s="1">
        <v>2022</v>
      </c>
      <c r="C11" s="1" t="s">
        <v>42</v>
      </c>
      <c r="D11" s="9">
        <v>2267.8000000000002</v>
      </c>
      <c r="E11" s="17">
        <f t="shared" ref="E11:E19" si="1">(D11-D10)/D11</f>
        <v>5.291471911103472E-3</v>
      </c>
      <c r="F11" s="12"/>
      <c r="G11" s="12"/>
      <c r="H11" s="12"/>
      <c r="I11" s="12"/>
      <c r="J11" s="12"/>
      <c r="K11" s="12"/>
      <c r="L11" s="9" t="s">
        <v>30</v>
      </c>
      <c r="M11" s="9" t="s">
        <v>6</v>
      </c>
      <c r="N11" s="9">
        <v>165.4</v>
      </c>
      <c r="O11" s="9">
        <v>179.6</v>
      </c>
      <c r="P11" s="54">
        <f t="shared" si="0"/>
        <v>7.9064587973273884E-2</v>
      </c>
      <c r="Q11" s="12"/>
      <c r="R11" s="12"/>
      <c r="S11" s="12"/>
      <c r="T11" s="12"/>
      <c r="U11" s="12"/>
      <c r="V11" s="12"/>
      <c r="W11" s="12"/>
      <c r="X11" s="12"/>
      <c r="AA11" s="12"/>
      <c r="AC11" s="12"/>
      <c r="AE11" s="12"/>
      <c r="AG11" s="12"/>
      <c r="AI11" s="12"/>
      <c r="AK11" s="12"/>
      <c r="AO11" s="12"/>
      <c r="AQ11" s="12"/>
      <c r="AS11" s="12"/>
      <c r="AU11" s="12"/>
      <c r="AW11" s="12"/>
      <c r="AY11" s="12"/>
    </row>
    <row r="12" spans="1:51" x14ac:dyDescent="0.3">
      <c r="A12" s="1" t="s">
        <v>30</v>
      </c>
      <c r="B12" s="1">
        <v>2022</v>
      </c>
      <c r="C12" s="1" t="s">
        <v>43</v>
      </c>
      <c r="D12" s="9">
        <v>2284.5</v>
      </c>
      <c r="E12" s="17">
        <f t="shared" si="1"/>
        <v>7.3101335084262715E-3</v>
      </c>
      <c r="F12" s="12"/>
      <c r="G12" s="12"/>
      <c r="H12" s="12"/>
      <c r="I12" s="12"/>
      <c r="J12" s="12"/>
      <c r="K12" s="12"/>
      <c r="L12" s="9" t="s">
        <v>30</v>
      </c>
      <c r="M12" s="52" t="s">
        <v>7</v>
      </c>
      <c r="N12" s="9">
        <v>208.1</v>
      </c>
      <c r="O12" s="9">
        <v>173.3</v>
      </c>
      <c r="P12" s="55">
        <f>(N12-O12)/O12</f>
        <v>0.20080784766301202</v>
      </c>
      <c r="Q12" s="12"/>
      <c r="R12" s="12"/>
      <c r="S12" s="12"/>
      <c r="T12" s="12"/>
      <c r="U12" s="12"/>
      <c r="V12" s="12"/>
      <c r="W12" s="12"/>
      <c r="X12" s="12"/>
      <c r="AA12" s="12"/>
      <c r="AC12" s="12"/>
      <c r="AE12" s="12"/>
      <c r="AG12" s="12"/>
      <c r="AI12" s="12"/>
      <c r="AK12" s="12"/>
      <c r="AO12" s="12"/>
      <c r="AQ12" s="12"/>
      <c r="AS12" s="12"/>
      <c r="AU12" s="12"/>
      <c r="AW12" s="12"/>
      <c r="AY12" s="12"/>
    </row>
    <row r="13" spans="1:51" x14ac:dyDescent="0.3">
      <c r="A13" s="1" t="s">
        <v>30</v>
      </c>
      <c r="B13" s="1">
        <v>2022</v>
      </c>
      <c r="C13" s="1" t="s">
        <v>45</v>
      </c>
      <c r="D13" s="9">
        <v>2287.6999999999998</v>
      </c>
      <c r="E13" s="17">
        <f t="shared" si="1"/>
        <v>1.3987848056999687E-3</v>
      </c>
      <c r="F13" s="12"/>
      <c r="G13" s="12"/>
      <c r="H13" s="12"/>
      <c r="I13" s="12"/>
      <c r="J13" s="12"/>
      <c r="K13" s="12"/>
      <c r="L13" s="9" t="s">
        <v>30</v>
      </c>
      <c r="M13" s="9" t="s">
        <v>8</v>
      </c>
      <c r="N13" s="9">
        <v>165.8</v>
      </c>
      <c r="O13" s="9">
        <v>169</v>
      </c>
      <c r="P13" s="54">
        <f t="shared" si="0"/>
        <v>1.8934911242603485E-2</v>
      </c>
      <c r="Q13" s="12"/>
      <c r="R13" s="12"/>
      <c r="S13" s="12"/>
      <c r="T13" s="12"/>
      <c r="U13" s="12"/>
      <c r="V13" s="12"/>
      <c r="W13" s="12"/>
      <c r="X13" s="12"/>
      <c r="AA13" s="12"/>
      <c r="AC13" s="12"/>
      <c r="AE13" s="12"/>
      <c r="AG13" s="12"/>
      <c r="AI13" s="12"/>
      <c r="AK13" s="12"/>
      <c r="AO13" s="12"/>
      <c r="AQ13" s="12"/>
      <c r="AS13" s="12"/>
      <c r="AU13" s="12"/>
      <c r="AW13" s="12"/>
      <c r="AY13" s="12"/>
    </row>
    <row r="14" spans="1:51" x14ac:dyDescent="0.3">
      <c r="A14" s="1" t="s">
        <v>30</v>
      </c>
      <c r="B14" s="1">
        <v>2022</v>
      </c>
      <c r="C14" s="1" t="s">
        <v>46</v>
      </c>
      <c r="D14" s="9">
        <v>2277.1</v>
      </c>
      <c r="E14" s="17">
        <f>(D13-D14)/D14</f>
        <v>4.6550436959289926E-3</v>
      </c>
      <c r="F14" s="12"/>
      <c r="G14" s="12"/>
      <c r="H14" s="12"/>
      <c r="I14" s="12"/>
      <c r="J14" s="12"/>
      <c r="K14" s="12"/>
      <c r="L14" s="9" t="s">
        <v>30</v>
      </c>
      <c r="M14" s="9" t="s">
        <v>9</v>
      </c>
      <c r="N14" s="9">
        <v>167.3</v>
      </c>
      <c r="O14" s="9">
        <v>148.69999999999999</v>
      </c>
      <c r="P14" s="54">
        <f>(N14-O14)/O14</f>
        <v>0.12508406186953613</v>
      </c>
      <c r="Q14" s="12"/>
      <c r="R14" s="12"/>
      <c r="S14" s="12"/>
      <c r="T14" s="12"/>
      <c r="U14" s="12"/>
      <c r="V14" s="12"/>
      <c r="W14" s="12"/>
      <c r="X14" s="12"/>
      <c r="AA14" s="12"/>
      <c r="AC14" s="12"/>
      <c r="AE14" s="12"/>
      <c r="AG14" s="12"/>
      <c r="AI14" s="12"/>
      <c r="AK14" s="12"/>
      <c r="AO14" s="12"/>
      <c r="AQ14" s="12"/>
      <c r="AS14" s="12"/>
      <c r="AU14" s="12"/>
      <c r="AW14" s="12"/>
      <c r="AY14" s="12"/>
    </row>
    <row r="15" spans="1:51" x14ac:dyDescent="0.3">
      <c r="A15" s="1" t="s">
        <v>30</v>
      </c>
      <c r="B15" s="1">
        <v>2023</v>
      </c>
      <c r="C15" s="1" t="s">
        <v>31</v>
      </c>
      <c r="D15" s="9">
        <v>2283.2000000000003</v>
      </c>
      <c r="E15" s="17">
        <f t="shared" si="1"/>
        <v>2.6716888577436771E-3</v>
      </c>
      <c r="F15" s="12"/>
      <c r="G15" s="12"/>
      <c r="H15" s="12"/>
      <c r="I15" s="12"/>
      <c r="J15" s="12"/>
      <c r="K15" s="12"/>
      <c r="L15" s="9" t="s">
        <v>30</v>
      </c>
      <c r="M15" s="9" t="s">
        <v>10</v>
      </c>
      <c r="N15" s="9">
        <v>164.6</v>
      </c>
      <c r="O15" s="9">
        <v>174.9</v>
      </c>
      <c r="P15" s="54">
        <f t="shared" si="0"/>
        <v>5.8890794739851406E-2</v>
      </c>
      <c r="Q15" s="12"/>
      <c r="R15" s="12"/>
      <c r="S15" s="12"/>
      <c r="T15" s="12"/>
      <c r="U15" s="12"/>
      <c r="V15" s="12"/>
      <c r="W15" s="12"/>
      <c r="X15" s="12"/>
      <c r="AA15" s="12"/>
      <c r="AC15" s="12"/>
      <c r="AE15" s="12"/>
      <c r="AG15" s="12"/>
      <c r="AI15" s="12"/>
      <c r="AK15" s="12"/>
      <c r="AO15" s="12"/>
      <c r="AQ15" s="12"/>
      <c r="AS15" s="12"/>
      <c r="AU15" s="12"/>
      <c r="AW15" s="12"/>
      <c r="AY15" s="12"/>
    </row>
    <row r="16" spans="1:51" x14ac:dyDescent="0.3">
      <c r="A16" s="1" t="s">
        <v>30</v>
      </c>
      <c r="B16" s="1">
        <v>2023</v>
      </c>
      <c r="C16" s="1" t="s">
        <v>35</v>
      </c>
      <c r="D16" s="9">
        <v>2265.6999999999998</v>
      </c>
      <c r="E16" s="17">
        <f>(D15-D16)/D16</f>
        <v>7.7238822438983343E-3</v>
      </c>
      <c r="F16" s="12"/>
      <c r="G16" s="12"/>
      <c r="H16" s="12"/>
      <c r="I16" s="12"/>
      <c r="J16" s="12"/>
      <c r="K16" s="12"/>
      <c r="L16" s="9" t="s">
        <v>30</v>
      </c>
      <c r="M16" s="9" t="s">
        <v>11</v>
      </c>
      <c r="N16" s="9">
        <v>119.1</v>
      </c>
      <c r="O16" s="9">
        <v>121.9</v>
      </c>
      <c r="P16" s="54">
        <f t="shared" si="0"/>
        <v>2.2969647251845866E-2</v>
      </c>
      <c r="Q16" s="12"/>
      <c r="R16" s="12"/>
      <c r="S16" s="12"/>
      <c r="T16" s="12"/>
      <c r="U16" s="12"/>
      <c r="V16" s="12"/>
      <c r="W16" s="12"/>
      <c r="X16" s="12"/>
      <c r="AA16" s="12"/>
      <c r="AC16" s="12"/>
      <c r="AE16" s="12"/>
      <c r="AG16" s="12"/>
      <c r="AI16" s="12"/>
      <c r="AK16" s="12"/>
      <c r="AO16" s="12"/>
      <c r="AQ16" s="12"/>
      <c r="AS16" s="12"/>
      <c r="AU16" s="12"/>
      <c r="AW16" s="12"/>
      <c r="AY16" s="12"/>
    </row>
    <row r="17" spans="1:52" x14ac:dyDescent="0.3">
      <c r="A17" s="1" t="s">
        <v>30</v>
      </c>
      <c r="B17" s="1">
        <v>2023</v>
      </c>
      <c r="C17" s="1" t="s">
        <v>36</v>
      </c>
      <c r="D17" s="9">
        <v>2265.8000000000002</v>
      </c>
      <c r="E17" s="17">
        <f t="shared" si="1"/>
        <v>4.4134522023287046E-5</v>
      </c>
      <c r="F17" s="12"/>
      <c r="G17" s="12"/>
      <c r="H17" s="12"/>
      <c r="I17" s="12"/>
      <c r="J17" s="12"/>
      <c r="K17" s="12"/>
      <c r="L17" s="9" t="s">
        <v>30</v>
      </c>
      <c r="M17" s="9" t="s">
        <v>12</v>
      </c>
      <c r="N17" s="9">
        <v>188.9</v>
      </c>
      <c r="O17" s="9">
        <v>221</v>
      </c>
      <c r="P17" s="54">
        <f t="shared" si="0"/>
        <v>0.14524886877828053</v>
      </c>
      <c r="Q17" s="12"/>
      <c r="R17" s="12"/>
      <c r="S17" s="12"/>
      <c r="T17" s="12"/>
      <c r="U17" s="12"/>
      <c r="V17" s="12"/>
      <c r="W17" s="12"/>
      <c r="X17" s="12"/>
      <c r="AA17" s="12"/>
      <c r="AC17" s="12"/>
      <c r="AE17" s="12"/>
      <c r="AG17" s="12"/>
      <c r="AI17" s="12"/>
      <c r="AK17" s="12"/>
      <c r="AO17" s="12"/>
      <c r="AQ17" s="12"/>
      <c r="AS17" s="12"/>
      <c r="AU17" s="12"/>
      <c r="AW17" s="12"/>
      <c r="AY17" s="12"/>
    </row>
    <row r="18" spans="1:52" x14ac:dyDescent="0.3">
      <c r="A18" s="1" t="s">
        <v>30</v>
      </c>
      <c r="B18" s="1">
        <v>2023</v>
      </c>
      <c r="C18" s="1" t="s">
        <v>37</v>
      </c>
      <c r="D18" s="9">
        <v>2274.1999999999998</v>
      </c>
      <c r="E18" s="17">
        <f t="shared" si="1"/>
        <v>3.6936065429600019E-3</v>
      </c>
      <c r="F18" s="12"/>
      <c r="G18" s="12"/>
      <c r="H18" s="12"/>
      <c r="I18" s="12"/>
      <c r="J18" s="12"/>
      <c r="K18" s="12"/>
      <c r="L18" s="51" t="s">
        <v>30</v>
      </c>
      <c r="M18" s="51" t="s">
        <v>13</v>
      </c>
      <c r="N18" s="51">
        <v>174.2</v>
      </c>
      <c r="O18" s="51">
        <v>178.7</v>
      </c>
      <c r="P18" s="56">
        <f t="shared" si="0"/>
        <v>2.5181869054280919E-2</v>
      </c>
      <c r="Q18" s="12"/>
      <c r="R18" s="12"/>
      <c r="S18" s="12"/>
      <c r="T18" s="12"/>
      <c r="U18" s="12"/>
      <c r="V18" s="12"/>
      <c r="W18" s="12"/>
      <c r="X18" s="12"/>
      <c r="AA18" s="12"/>
      <c r="AC18" s="12"/>
      <c r="AE18" s="12"/>
      <c r="AG18" s="12"/>
      <c r="AI18" s="12"/>
      <c r="AK18" s="12"/>
      <c r="AO18" s="12"/>
      <c r="AQ18" s="12"/>
      <c r="AS18" s="12"/>
      <c r="AU18" s="12"/>
      <c r="AW18" s="12"/>
      <c r="AY18" s="12"/>
    </row>
    <row r="19" spans="1:52" ht="15" customHeight="1" x14ac:dyDescent="0.3">
      <c r="A19" s="1" t="s">
        <v>30</v>
      </c>
      <c r="B19" s="1">
        <v>2023</v>
      </c>
      <c r="C19" s="1" t="s">
        <v>38</v>
      </c>
      <c r="D19" s="9">
        <v>2290.7000000000007</v>
      </c>
      <c r="E19" s="17">
        <f t="shared" si="1"/>
        <v>7.2030383725502703E-3</v>
      </c>
      <c r="F19" s="12"/>
      <c r="G19" s="12"/>
      <c r="H19" s="12"/>
      <c r="I19" s="12"/>
      <c r="J19" s="12"/>
      <c r="K19" s="12"/>
      <c r="L19" s="11" t="s">
        <v>30</v>
      </c>
      <c r="M19" s="11" t="s">
        <v>14</v>
      </c>
      <c r="N19" s="11">
        <v>181.9</v>
      </c>
      <c r="O19" s="11">
        <v>191.1</v>
      </c>
      <c r="P19" s="54">
        <f t="shared" si="0"/>
        <v>4.8142333856619514E-2</v>
      </c>
      <c r="Q19" s="12"/>
      <c r="R19" s="12"/>
      <c r="S19" s="12"/>
      <c r="T19" s="12"/>
      <c r="U19" s="12"/>
      <c r="V19" s="12"/>
      <c r="W19" s="12"/>
      <c r="X19" s="12"/>
      <c r="AA19" s="12"/>
      <c r="AC19" s="12"/>
      <c r="AE19" s="12"/>
      <c r="AG19" s="12"/>
      <c r="AI19" s="12"/>
      <c r="AK19" s="12"/>
      <c r="AO19" s="12"/>
      <c r="AQ19" s="12"/>
      <c r="AS19" s="12"/>
      <c r="AU19" s="12"/>
      <c r="AW19" s="12"/>
      <c r="AY19" s="12"/>
    </row>
    <row r="20" spans="1:52" ht="15" customHeight="1" x14ac:dyDescent="0.3">
      <c r="E20" s="12"/>
      <c r="F20" s="12"/>
      <c r="G20" s="12"/>
      <c r="H20" s="12"/>
      <c r="I20" s="12"/>
      <c r="J20" s="12"/>
      <c r="K20" s="12"/>
      <c r="L20" s="11" t="s">
        <v>30</v>
      </c>
      <c r="M20" s="11" t="s">
        <v>15</v>
      </c>
      <c r="N20" s="11">
        <v>172.4</v>
      </c>
      <c r="O20" s="11">
        <v>176.8</v>
      </c>
      <c r="P20" s="54">
        <f t="shared" si="0"/>
        <v>2.4886877828054328E-2</v>
      </c>
      <c r="Q20" s="12"/>
      <c r="R20" s="12"/>
      <c r="S20" s="12"/>
      <c r="T20" s="12"/>
      <c r="U20" s="12"/>
      <c r="V20" s="12"/>
      <c r="W20" s="12"/>
      <c r="X20" s="12"/>
      <c r="AA20" s="12"/>
      <c r="AC20" s="12"/>
      <c r="AE20" s="12"/>
      <c r="AG20" s="12"/>
      <c r="AI20" s="12"/>
      <c r="AK20" s="12"/>
      <c r="AO20" s="12"/>
      <c r="AQ20" s="12"/>
      <c r="AS20" s="12"/>
      <c r="AU20" s="12"/>
      <c r="AW20" s="12"/>
      <c r="AY20" s="12"/>
    </row>
    <row r="21" spans="1:52" ht="15" customHeight="1" x14ac:dyDescent="0.3">
      <c r="E21" s="12"/>
      <c r="F21" s="12"/>
      <c r="G21" s="12"/>
      <c r="H21" s="12"/>
      <c r="I21" s="12"/>
      <c r="J21" s="12"/>
      <c r="K21" s="12"/>
      <c r="P21" s="58"/>
      <c r="Q21" s="12"/>
      <c r="R21" s="12"/>
      <c r="S21" s="12"/>
      <c r="T21" s="12"/>
      <c r="U21" s="12"/>
      <c r="V21" s="12"/>
      <c r="W21" s="12"/>
      <c r="X21" s="12"/>
      <c r="AA21" s="12"/>
      <c r="AC21" s="12"/>
      <c r="AE21" s="12"/>
      <c r="AG21" s="12"/>
      <c r="AI21" s="12"/>
      <c r="AK21" s="12"/>
      <c r="AO21" s="12"/>
      <c r="AQ21" s="12"/>
      <c r="AS21" s="12"/>
      <c r="AU21" s="12"/>
      <c r="AW21" s="12"/>
      <c r="AY21" s="12"/>
    </row>
    <row r="22" spans="1:52" ht="15" customHeight="1" x14ac:dyDescent="0.3">
      <c r="A22" s="70" t="s">
        <v>106</v>
      </c>
      <c r="B22" s="70"/>
      <c r="C22" s="70"/>
      <c r="D22" s="70"/>
      <c r="E22" s="70"/>
      <c r="F22" s="12"/>
      <c r="G22" s="12"/>
      <c r="H22" s="12"/>
      <c r="I22" s="12"/>
      <c r="J22" s="12"/>
      <c r="K22" s="12"/>
      <c r="L22" s="70" t="s">
        <v>107</v>
      </c>
      <c r="M22" s="70"/>
      <c r="N22" s="70"/>
      <c r="P22" s="58"/>
      <c r="Q22" s="12"/>
      <c r="R22" s="12"/>
      <c r="S22" s="12"/>
      <c r="T22" s="12"/>
      <c r="U22" s="12"/>
      <c r="V22" s="12"/>
      <c r="W22" s="12"/>
      <c r="X22" s="12"/>
      <c r="AA22" s="12"/>
      <c r="AC22" s="12"/>
      <c r="AE22" s="12"/>
      <c r="AG22" s="12"/>
      <c r="AI22" s="12"/>
      <c r="AK22" s="12"/>
      <c r="AO22" s="12"/>
      <c r="AQ22" s="12"/>
      <c r="AS22" s="12"/>
      <c r="AU22" s="12"/>
      <c r="AW22" s="12"/>
      <c r="AY22" s="12"/>
    </row>
    <row r="23" spans="1:52" ht="15" customHeight="1" x14ac:dyDescent="0.3">
      <c r="E23" s="12"/>
      <c r="F23" s="12"/>
      <c r="G23" s="12"/>
      <c r="H23" s="12"/>
      <c r="I23" s="12"/>
      <c r="J23" s="12"/>
      <c r="K23" s="12"/>
      <c r="Q23" s="12"/>
      <c r="R23" s="12"/>
      <c r="S23" s="12"/>
      <c r="T23" s="12"/>
      <c r="U23" s="12"/>
      <c r="V23" s="12"/>
      <c r="W23" s="12"/>
      <c r="X23" s="12"/>
      <c r="AA23" s="12"/>
      <c r="AC23" s="12"/>
      <c r="AE23" s="12"/>
      <c r="AG23" s="12"/>
      <c r="AI23" s="12"/>
      <c r="AK23" s="12"/>
      <c r="AO23" s="12"/>
      <c r="AQ23" s="12"/>
      <c r="AS23" s="12"/>
      <c r="AU23" s="12"/>
      <c r="AW23" s="12"/>
      <c r="AY23" s="12"/>
    </row>
    <row r="24" spans="1:52" ht="15" customHeight="1" x14ac:dyDescent="0.3">
      <c r="A24" s="5" t="s">
        <v>0</v>
      </c>
      <c r="B24" s="5" t="s">
        <v>1</v>
      </c>
      <c r="C24" s="5" t="s">
        <v>2</v>
      </c>
      <c r="D24" s="8" t="s">
        <v>68</v>
      </c>
      <c r="E24" s="10" t="s">
        <v>67</v>
      </c>
      <c r="F24" s="2"/>
      <c r="G24" s="2"/>
      <c r="H24" s="2"/>
      <c r="I24" s="2"/>
      <c r="J24" s="2"/>
      <c r="K24" s="2"/>
      <c r="L24" s="8" t="s">
        <v>0</v>
      </c>
      <c r="M24" s="8" t="s">
        <v>99</v>
      </c>
      <c r="N24" s="8" t="s">
        <v>100</v>
      </c>
      <c r="O24" s="8" t="s">
        <v>101</v>
      </c>
      <c r="P24" s="10" t="s">
        <v>102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60"/>
    </row>
    <row r="25" spans="1:52" ht="15" customHeight="1" x14ac:dyDescent="0.3">
      <c r="A25" s="1" t="s">
        <v>34</v>
      </c>
      <c r="B25" s="1">
        <v>2022</v>
      </c>
      <c r="C25" s="1" t="s">
        <v>39</v>
      </c>
      <c r="D25" s="9">
        <v>2261.9</v>
      </c>
      <c r="E25" s="11"/>
      <c r="L25" s="11" t="s">
        <v>34</v>
      </c>
      <c r="M25" s="11" t="s">
        <v>3</v>
      </c>
      <c r="N25" s="11">
        <v>155</v>
      </c>
      <c r="O25" s="11">
        <v>173.7</v>
      </c>
      <c r="P25" s="50">
        <f>(O25-N25)/N25</f>
        <v>0.1206451612903225</v>
      </c>
    </row>
    <row r="26" spans="1:52" ht="15" customHeight="1" x14ac:dyDescent="0.3">
      <c r="A26" s="1" t="s">
        <v>34</v>
      </c>
      <c r="B26" s="1">
        <v>2022</v>
      </c>
      <c r="C26" s="1" t="s">
        <v>40</v>
      </c>
      <c r="D26" s="9">
        <v>2266.3000000000002</v>
      </c>
      <c r="E26" s="17">
        <f>(D26-D25)/D26</f>
        <v>1.9414905352336807E-3</v>
      </c>
      <c r="F26" s="12"/>
      <c r="G26" s="12"/>
      <c r="H26" s="12"/>
      <c r="I26" s="12"/>
      <c r="J26" s="12"/>
      <c r="K26" s="12"/>
      <c r="L26" s="11" t="s">
        <v>34</v>
      </c>
      <c r="M26" s="11" t="s">
        <v>4</v>
      </c>
      <c r="N26" s="11">
        <v>219.4</v>
      </c>
      <c r="O26" s="11">
        <v>214.3</v>
      </c>
      <c r="P26" s="50">
        <f>(N26-O26)/N26</f>
        <v>2.3245214220601614E-2</v>
      </c>
      <c r="Q26" s="12"/>
      <c r="R26" s="12"/>
      <c r="S26" s="12"/>
      <c r="T26" s="12"/>
      <c r="U26" s="12"/>
      <c r="V26" s="12"/>
      <c r="W26" s="12"/>
      <c r="X26" s="12"/>
      <c r="AA26" s="12"/>
      <c r="AC26" s="12"/>
      <c r="AE26" s="12"/>
      <c r="AG26" s="12"/>
      <c r="AI26" s="12"/>
      <c r="AK26" s="12"/>
      <c r="AM26" s="12"/>
      <c r="AO26" s="12"/>
      <c r="AQ26" s="12"/>
      <c r="AS26" s="12"/>
      <c r="AU26" s="12"/>
      <c r="AW26" s="12"/>
      <c r="AY26" s="12"/>
    </row>
    <row r="27" spans="1:52" ht="15" customHeight="1" x14ac:dyDescent="0.3">
      <c r="A27" s="1" t="s">
        <v>34</v>
      </c>
      <c r="B27" s="1">
        <v>2022</v>
      </c>
      <c r="C27" s="1" t="s">
        <v>41</v>
      </c>
      <c r="D27" s="9">
        <v>2269.2000000000003</v>
      </c>
      <c r="E27" s="17">
        <f t="shared" ref="E27:E36" si="2">(D27-D26)/D27</f>
        <v>1.2779834302838404E-3</v>
      </c>
      <c r="F27" s="12"/>
      <c r="G27" s="12"/>
      <c r="H27" s="12"/>
      <c r="I27" s="12"/>
      <c r="J27" s="12"/>
      <c r="K27" s="12"/>
      <c r="L27" s="11" t="s">
        <v>34</v>
      </c>
      <c r="M27" s="11" t="s">
        <v>5</v>
      </c>
      <c r="N27" s="11">
        <v>170.8</v>
      </c>
      <c r="O27" s="11">
        <v>173.2</v>
      </c>
      <c r="P27" s="50">
        <f t="shared" ref="P27:P37" si="3">(O27-N27)/N27</f>
        <v>1.4051522248243426E-2</v>
      </c>
      <c r="Q27" s="12"/>
      <c r="R27" s="12"/>
      <c r="S27" s="12"/>
      <c r="T27" s="12"/>
      <c r="U27" s="12"/>
      <c r="V27" s="12"/>
      <c r="W27" s="12"/>
      <c r="X27" s="12"/>
      <c r="AA27" s="12"/>
      <c r="AC27" s="12"/>
      <c r="AE27" s="12"/>
      <c r="AG27" s="12"/>
      <c r="AI27" s="12"/>
      <c r="AK27" s="12"/>
      <c r="AM27" s="12"/>
      <c r="AO27" s="12"/>
      <c r="AQ27" s="12"/>
      <c r="AS27" s="12"/>
      <c r="AU27" s="12"/>
      <c r="AW27" s="12"/>
      <c r="AY27" s="12"/>
    </row>
    <row r="28" spans="1:52" ht="15" customHeight="1" x14ac:dyDescent="0.3">
      <c r="A28" s="1" t="s">
        <v>34</v>
      </c>
      <c r="B28" s="1">
        <v>2022</v>
      </c>
      <c r="C28" s="1" t="s">
        <v>42</v>
      </c>
      <c r="D28" s="9">
        <v>2280.9</v>
      </c>
      <c r="E28" s="17">
        <f t="shared" si="2"/>
        <v>5.129554123372273E-3</v>
      </c>
      <c r="F28" s="12"/>
      <c r="G28" s="12"/>
      <c r="H28" s="12"/>
      <c r="I28" s="12"/>
      <c r="J28" s="12"/>
      <c r="K28" s="12"/>
      <c r="L28" s="11" t="s">
        <v>34</v>
      </c>
      <c r="M28" s="11" t="s">
        <v>6</v>
      </c>
      <c r="N28" s="11">
        <v>165.8</v>
      </c>
      <c r="O28" s="11">
        <v>179.5</v>
      </c>
      <c r="P28" s="50">
        <f t="shared" si="3"/>
        <v>8.2629674306393175E-2</v>
      </c>
      <c r="Q28" s="12"/>
      <c r="R28" s="12"/>
      <c r="S28" s="12"/>
      <c r="T28" s="12"/>
      <c r="U28" s="12"/>
      <c r="V28" s="12"/>
      <c r="W28" s="12"/>
      <c r="X28" s="12"/>
      <c r="AA28" s="12"/>
      <c r="AC28" s="12"/>
      <c r="AE28" s="12"/>
      <c r="AG28" s="12"/>
      <c r="AI28" s="12"/>
      <c r="AK28" s="12"/>
      <c r="AM28" s="12"/>
      <c r="AO28" s="12"/>
      <c r="AQ28" s="12"/>
      <c r="AS28" s="12"/>
      <c r="AU28" s="12"/>
      <c r="AW28" s="12"/>
      <c r="AY28" s="12"/>
    </row>
    <row r="29" spans="1:52" ht="15" customHeight="1" x14ac:dyDescent="0.3">
      <c r="A29" s="1" t="s">
        <v>34</v>
      </c>
      <c r="B29" s="1">
        <v>2022</v>
      </c>
      <c r="C29" s="1" t="s">
        <v>43</v>
      </c>
      <c r="D29" s="9">
        <v>2297.3000000000002</v>
      </c>
      <c r="E29" s="17">
        <f t="shared" si="2"/>
        <v>7.1388151308057679E-3</v>
      </c>
      <c r="F29" s="12"/>
      <c r="G29" s="12"/>
      <c r="H29" s="12"/>
      <c r="I29" s="12"/>
      <c r="J29" s="12"/>
      <c r="K29" s="12"/>
      <c r="L29" s="11" t="s">
        <v>34</v>
      </c>
      <c r="M29" s="11" t="s">
        <v>7</v>
      </c>
      <c r="N29" s="11">
        <v>200.9</v>
      </c>
      <c r="O29" s="11">
        <v>170</v>
      </c>
      <c r="P29" s="50">
        <f>(N29-O29)/N29</f>
        <v>0.15380786460925835</v>
      </c>
      <c r="Q29" s="12"/>
      <c r="R29" s="12"/>
      <c r="S29" s="12"/>
      <c r="T29" s="12"/>
      <c r="U29" s="12"/>
      <c r="V29" s="12"/>
      <c r="W29" s="12"/>
      <c r="X29" s="12"/>
      <c r="AA29" s="12"/>
      <c r="AC29" s="12"/>
      <c r="AE29" s="12"/>
      <c r="AG29" s="12"/>
      <c r="AI29" s="12"/>
      <c r="AK29" s="12"/>
      <c r="AM29" s="12"/>
      <c r="AO29" s="12"/>
      <c r="AQ29" s="12"/>
      <c r="AS29" s="12"/>
      <c r="AU29" s="12"/>
      <c r="AW29" s="12"/>
      <c r="AY29" s="12"/>
    </row>
    <row r="30" spans="1:52" ht="15" customHeight="1" x14ac:dyDescent="0.3">
      <c r="A30" s="1" t="s">
        <v>34</v>
      </c>
      <c r="B30" s="1">
        <v>2022</v>
      </c>
      <c r="C30" s="1" t="s">
        <v>45</v>
      </c>
      <c r="D30" s="9">
        <v>2296.8000000000002</v>
      </c>
      <c r="E30" s="17">
        <f t="shared" si="2"/>
        <v>-2.1769418321142457E-4</v>
      </c>
      <c r="F30" s="12"/>
      <c r="G30" s="12"/>
      <c r="H30" s="12"/>
      <c r="I30" s="12"/>
      <c r="J30" s="12"/>
      <c r="K30" s="12"/>
      <c r="L30" s="11" t="s">
        <v>34</v>
      </c>
      <c r="M30" s="11" t="s">
        <v>8</v>
      </c>
      <c r="N30" s="11">
        <v>169.7</v>
      </c>
      <c r="O30" s="11">
        <v>172.2</v>
      </c>
      <c r="P30" s="50">
        <f t="shared" si="3"/>
        <v>1.4731879787860933E-2</v>
      </c>
      <c r="Q30" s="12"/>
      <c r="R30" s="12"/>
      <c r="S30" s="12"/>
      <c r="T30" s="12"/>
      <c r="U30" s="12"/>
      <c r="V30" s="12"/>
      <c r="W30" s="12"/>
      <c r="X30" s="12"/>
      <c r="AA30" s="12"/>
      <c r="AC30" s="12"/>
      <c r="AE30" s="12"/>
      <c r="AG30" s="12"/>
      <c r="AI30" s="12"/>
      <c r="AK30" s="12"/>
      <c r="AM30" s="12"/>
      <c r="AO30" s="12"/>
      <c r="AQ30" s="12"/>
      <c r="AS30" s="12"/>
      <c r="AU30" s="12"/>
      <c r="AW30" s="12"/>
      <c r="AY30" s="12"/>
    </row>
    <row r="31" spans="1:52" ht="15" customHeight="1" x14ac:dyDescent="0.3">
      <c r="A31" s="1" t="s">
        <v>34</v>
      </c>
      <c r="B31" s="1">
        <v>2022</v>
      </c>
      <c r="C31" s="1" t="s">
        <v>46</v>
      </c>
      <c r="D31" s="9">
        <v>2283.4</v>
      </c>
      <c r="E31" s="17">
        <f>(D30-D31)/D31</f>
        <v>5.8684417973198259E-3</v>
      </c>
      <c r="F31" s="12"/>
      <c r="G31" s="12"/>
      <c r="H31" s="12"/>
      <c r="I31" s="12"/>
      <c r="J31" s="12"/>
      <c r="K31" s="12"/>
      <c r="L31" s="11" t="s">
        <v>34</v>
      </c>
      <c r="M31" s="11" t="s">
        <v>9</v>
      </c>
      <c r="N31" s="11">
        <v>182.3</v>
      </c>
      <c r="O31" s="11">
        <v>161</v>
      </c>
      <c r="P31" s="50">
        <f>(N31-O31)/N31</f>
        <v>0.11684037301151953</v>
      </c>
      <c r="Q31" s="12"/>
      <c r="R31" s="12"/>
      <c r="S31" s="12"/>
      <c r="T31" s="12"/>
      <c r="U31" s="12"/>
      <c r="V31" s="12"/>
      <c r="W31" s="12"/>
      <c r="X31" s="12"/>
      <c r="AA31" s="12"/>
      <c r="AC31" s="12"/>
      <c r="AE31" s="12"/>
      <c r="AG31" s="12"/>
      <c r="AI31" s="12"/>
      <c r="AK31" s="12"/>
      <c r="AM31" s="12"/>
      <c r="AO31" s="12"/>
      <c r="AQ31" s="12"/>
      <c r="AS31" s="12"/>
      <c r="AU31" s="12"/>
      <c r="AW31" s="12"/>
      <c r="AY31" s="12"/>
    </row>
    <row r="32" spans="1:52" ht="15" customHeight="1" x14ac:dyDescent="0.3">
      <c r="A32" s="1" t="s">
        <v>34</v>
      </c>
      <c r="B32" s="1">
        <v>2023</v>
      </c>
      <c r="C32" s="1" t="s">
        <v>31</v>
      </c>
      <c r="D32" s="9">
        <v>2292.6999999999998</v>
      </c>
      <c r="E32" s="17">
        <f t="shared" si="2"/>
        <v>4.0563527718409419E-3</v>
      </c>
      <c r="F32" s="12"/>
      <c r="G32" s="12"/>
      <c r="H32" s="12"/>
      <c r="I32" s="12"/>
      <c r="J32" s="12"/>
      <c r="K32" s="12"/>
      <c r="L32" s="11" t="s">
        <v>34</v>
      </c>
      <c r="M32" s="11" t="s">
        <v>10</v>
      </c>
      <c r="N32" s="11">
        <v>164.3</v>
      </c>
      <c r="O32" s="11">
        <v>175.6</v>
      </c>
      <c r="P32" s="50">
        <f t="shared" si="3"/>
        <v>6.8776628119293873E-2</v>
      </c>
      <c r="Q32" s="12"/>
      <c r="R32" s="12"/>
      <c r="S32" s="12"/>
      <c r="T32" s="12"/>
      <c r="U32" s="12"/>
      <c r="V32" s="12"/>
      <c r="W32" s="12"/>
      <c r="X32" s="12"/>
      <c r="AA32" s="12"/>
      <c r="AC32" s="12"/>
      <c r="AE32" s="12"/>
      <c r="AG32" s="12"/>
      <c r="AI32" s="12"/>
      <c r="AK32" s="12"/>
      <c r="AM32" s="12"/>
      <c r="AO32" s="12"/>
      <c r="AQ32" s="12"/>
      <c r="AS32" s="12"/>
      <c r="AU32" s="12"/>
      <c r="AW32" s="12"/>
      <c r="AY32" s="12"/>
    </row>
    <row r="33" spans="1:52" ht="15" customHeight="1" x14ac:dyDescent="0.3">
      <c r="A33" s="1" t="s">
        <v>34</v>
      </c>
      <c r="B33" s="1">
        <v>2023</v>
      </c>
      <c r="C33" s="1" t="s">
        <v>35</v>
      </c>
      <c r="D33" s="9">
        <v>2279.1</v>
      </c>
      <c r="E33" s="17">
        <f>(D32-D33)/D33</f>
        <v>5.9672677811416393E-3</v>
      </c>
      <c r="F33" s="12"/>
      <c r="G33" s="12"/>
      <c r="H33" s="12"/>
      <c r="I33" s="12"/>
      <c r="J33" s="12"/>
      <c r="K33" s="12"/>
      <c r="L33" s="11" t="s">
        <v>34</v>
      </c>
      <c r="M33" s="11" t="s">
        <v>11</v>
      </c>
      <c r="N33" s="11">
        <v>119.9</v>
      </c>
      <c r="O33" s="11">
        <v>122.7</v>
      </c>
      <c r="P33" s="50">
        <f t="shared" si="3"/>
        <v>2.3352793994995805E-2</v>
      </c>
      <c r="Q33" s="12"/>
      <c r="R33" s="12"/>
      <c r="S33" s="12"/>
      <c r="T33" s="12"/>
      <c r="U33" s="12"/>
      <c r="V33" s="12"/>
      <c r="W33" s="12"/>
      <c r="X33" s="12"/>
      <c r="AA33" s="12"/>
      <c r="AC33" s="12"/>
      <c r="AE33" s="12"/>
      <c r="AG33" s="12"/>
      <c r="AI33" s="12"/>
      <c r="AK33" s="12"/>
      <c r="AM33" s="12"/>
      <c r="AO33" s="12"/>
      <c r="AQ33" s="12"/>
      <c r="AS33" s="12"/>
      <c r="AU33" s="12"/>
      <c r="AW33" s="12"/>
      <c r="AY33" s="12"/>
    </row>
    <row r="34" spans="1:52" ht="15" customHeight="1" x14ac:dyDescent="0.3">
      <c r="A34" s="1" t="s">
        <v>34</v>
      </c>
      <c r="B34" s="1">
        <v>2023</v>
      </c>
      <c r="C34" s="1" t="s">
        <v>36</v>
      </c>
      <c r="D34" s="9">
        <v>2279.1999999999998</v>
      </c>
      <c r="E34" s="17">
        <f t="shared" si="2"/>
        <v>4.3875043875003974E-5</v>
      </c>
      <c r="F34" s="12"/>
      <c r="G34" s="12"/>
      <c r="H34" s="12"/>
      <c r="I34" s="12"/>
      <c r="J34" s="12"/>
      <c r="K34" s="12"/>
      <c r="L34" s="11" t="s">
        <v>34</v>
      </c>
      <c r="M34" s="53" t="s">
        <v>12</v>
      </c>
      <c r="N34" s="11">
        <v>187.1</v>
      </c>
      <c r="O34" s="11">
        <v>218</v>
      </c>
      <c r="P34" s="57">
        <f t="shared" si="3"/>
        <v>0.16515232495991453</v>
      </c>
      <c r="Q34" s="12"/>
      <c r="R34" s="12"/>
      <c r="S34" s="12"/>
      <c r="T34" s="12"/>
      <c r="U34" s="12"/>
      <c r="V34" s="12"/>
      <c r="W34" s="12"/>
      <c r="X34" s="12"/>
      <c r="AA34" s="12"/>
      <c r="AC34" s="12"/>
      <c r="AE34" s="12"/>
      <c r="AG34" s="12"/>
      <c r="AI34" s="12"/>
      <c r="AK34" s="12"/>
      <c r="AM34" s="12"/>
      <c r="AO34" s="12"/>
      <c r="AQ34" s="12"/>
      <c r="AS34" s="12"/>
      <c r="AU34" s="12"/>
      <c r="AW34" s="12"/>
      <c r="AY34" s="12"/>
    </row>
    <row r="35" spans="1:52" ht="15" customHeight="1" x14ac:dyDescent="0.3">
      <c r="A35" s="1" t="s">
        <v>34</v>
      </c>
      <c r="B35" s="1">
        <v>2023</v>
      </c>
      <c r="C35" s="1" t="s">
        <v>37</v>
      </c>
      <c r="D35" s="9">
        <v>2289.6000000000004</v>
      </c>
      <c r="E35" s="17">
        <f t="shared" si="2"/>
        <v>4.5422781271840249E-3</v>
      </c>
      <c r="F35" s="12"/>
      <c r="G35" s="12"/>
      <c r="H35" s="12"/>
      <c r="I35" s="12"/>
      <c r="J35" s="12"/>
      <c r="K35" s="12"/>
      <c r="L35" s="11" t="s">
        <v>34</v>
      </c>
      <c r="M35" s="11" t="s">
        <v>13</v>
      </c>
      <c r="N35" s="11">
        <v>167.9</v>
      </c>
      <c r="O35" s="11">
        <v>173.4</v>
      </c>
      <c r="P35" s="50">
        <f t="shared" si="3"/>
        <v>3.2757593805836809E-2</v>
      </c>
      <c r="Q35" s="12"/>
      <c r="R35" s="12"/>
      <c r="S35" s="12"/>
      <c r="T35" s="12"/>
      <c r="U35" s="12"/>
      <c r="V35" s="12"/>
      <c r="W35" s="12"/>
      <c r="X35" s="12"/>
      <c r="AA35" s="12"/>
      <c r="AC35" s="12"/>
      <c r="AE35" s="12"/>
      <c r="AG35" s="12"/>
      <c r="AI35" s="12"/>
      <c r="AK35" s="12"/>
      <c r="AM35" s="12"/>
      <c r="AO35" s="12"/>
      <c r="AQ35" s="12"/>
      <c r="AS35" s="12"/>
      <c r="AU35" s="12"/>
      <c r="AW35" s="12"/>
      <c r="AY35" s="12"/>
    </row>
    <row r="36" spans="1:52" ht="15" customHeight="1" x14ac:dyDescent="0.3">
      <c r="A36" s="1" t="s">
        <v>34</v>
      </c>
      <c r="B36" s="1">
        <v>2023</v>
      </c>
      <c r="C36" s="1" t="s">
        <v>38</v>
      </c>
      <c r="D36" s="9">
        <v>2306.9</v>
      </c>
      <c r="E36" s="17">
        <f t="shared" si="2"/>
        <v>7.4992414062160159E-3</v>
      </c>
      <c r="F36" s="12"/>
      <c r="G36" s="12"/>
      <c r="H36" s="12"/>
      <c r="I36" s="12"/>
      <c r="J36" s="12"/>
      <c r="K36" s="12"/>
      <c r="L36" s="11" t="s">
        <v>34</v>
      </c>
      <c r="M36" s="11" t="s">
        <v>14</v>
      </c>
      <c r="N36" s="11">
        <v>183.9</v>
      </c>
      <c r="O36" s="11">
        <v>194.2</v>
      </c>
      <c r="P36" s="50">
        <f t="shared" si="3"/>
        <v>5.6008700380641561E-2</v>
      </c>
      <c r="Q36" s="12"/>
      <c r="R36" s="12"/>
      <c r="S36" s="12"/>
      <c r="T36" s="12"/>
      <c r="U36" s="12"/>
      <c r="V36" s="12"/>
      <c r="W36" s="12"/>
      <c r="X36" s="12"/>
      <c r="AA36" s="12"/>
      <c r="AC36" s="12"/>
      <c r="AE36" s="12"/>
      <c r="AG36" s="12"/>
      <c r="AI36" s="12"/>
      <c r="AK36" s="12"/>
      <c r="AM36" s="12"/>
      <c r="AO36" s="12"/>
      <c r="AQ36" s="12"/>
      <c r="AS36" s="12"/>
      <c r="AU36" s="12"/>
      <c r="AW36" s="12"/>
      <c r="AY36" s="12"/>
    </row>
    <row r="37" spans="1:52" ht="15" customHeight="1" x14ac:dyDescent="0.3">
      <c r="L37" s="11" t="s">
        <v>34</v>
      </c>
      <c r="M37" s="11" t="s">
        <v>15</v>
      </c>
      <c r="N37" s="11">
        <v>174.9</v>
      </c>
      <c r="O37" s="11">
        <v>179.1</v>
      </c>
      <c r="P37" s="50">
        <f t="shared" si="3"/>
        <v>2.4013722126929607E-2</v>
      </c>
    </row>
    <row r="38" spans="1:52" ht="15" customHeight="1" x14ac:dyDescent="0.3">
      <c r="P38" s="59"/>
    </row>
    <row r="39" spans="1:52" ht="15" customHeight="1" x14ac:dyDescent="0.3">
      <c r="A39" s="70" t="s">
        <v>108</v>
      </c>
      <c r="B39" s="70"/>
      <c r="C39" s="70"/>
      <c r="D39" s="70"/>
      <c r="L39" s="70" t="s">
        <v>109</v>
      </c>
      <c r="M39" s="70"/>
      <c r="N39" s="70"/>
      <c r="P39" s="59"/>
    </row>
    <row r="40" spans="1:52" ht="15" customHeight="1" x14ac:dyDescent="0.3"/>
    <row r="41" spans="1:52" ht="15" customHeight="1" x14ac:dyDescent="0.3">
      <c r="A41" s="5" t="s">
        <v>0</v>
      </c>
      <c r="B41" s="5" t="s">
        <v>1</v>
      </c>
      <c r="C41" s="5" t="s">
        <v>2</v>
      </c>
      <c r="D41" s="8" t="s">
        <v>68</v>
      </c>
      <c r="E41" s="10" t="s">
        <v>67</v>
      </c>
      <c r="F41" s="2"/>
      <c r="G41" s="2"/>
      <c r="H41" s="2"/>
      <c r="I41" s="2"/>
      <c r="J41" s="2"/>
      <c r="K41" s="2"/>
      <c r="L41" s="8" t="s">
        <v>0</v>
      </c>
      <c r="M41" s="8" t="s">
        <v>99</v>
      </c>
      <c r="N41" s="8" t="s">
        <v>100</v>
      </c>
      <c r="O41" s="8" t="s">
        <v>101</v>
      </c>
      <c r="P41" s="10" t="s">
        <v>102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60"/>
    </row>
    <row r="42" spans="1:52" ht="15" customHeight="1" x14ac:dyDescent="0.3">
      <c r="A42" s="1" t="s">
        <v>33</v>
      </c>
      <c r="B42" s="1">
        <v>2022</v>
      </c>
      <c r="C42" s="1" t="s">
        <v>39</v>
      </c>
      <c r="D42" s="9">
        <v>2287.5</v>
      </c>
      <c r="E42" s="11"/>
      <c r="L42" s="11" t="s">
        <v>33</v>
      </c>
      <c r="M42" s="11" t="s">
        <v>3</v>
      </c>
      <c r="N42" s="11">
        <v>157.5</v>
      </c>
      <c r="O42" s="11">
        <v>174.7</v>
      </c>
      <c r="P42" s="50">
        <f>(O42-N42)/O42</f>
        <v>9.8454493417286723E-2</v>
      </c>
    </row>
    <row r="43" spans="1:52" ht="15" customHeight="1" x14ac:dyDescent="0.3">
      <c r="A43" s="1" t="s">
        <v>33</v>
      </c>
      <c r="B43" s="1">
        <v>2022</v>
      </c>
      <c r="C43" s="1" t="s">
        <v>40</v>
      </c>
      <c r="D43" s="9">
        <v>2291.6</v>
      </c>
      <c r="E43" s="17">
        <f>(D43-D42)/D43</f>
        <v>1.7891429568859789E-3</v>
      </c>
      <c r="F43" s="12"/>
      <c r="G43" s="12"/>
      <c r="H43" s="12"/>
      <c r="I43" s="12"/>
      <c r="J43" s="12"/>
      <c r="K43" s="12"/>
      <c r="L43" s="11" t="s">
        <v>33</v>
      </c>
      <c r="M43" s="11" t="s">
        <v>4</v>
      </c>
      <c r="N43" s="11">
        <v>223.4</v>
      </c>
      <c r="O43" s="11">
        <v>219.4</v>
      </c>
      <c r="P43" s="50">
        <f>(N43-O43)/O43</f>
        <v>1.8231540565177756E-2</v>
      </c>
      <c r="Q43" s="12"/>
      <c r="R43" s="12"/>
      <c r="S43" s="12"/>
      <c r="T43" s="12"/>
      <c r="U43" s="12"/>
      <c r="V43" s="12"/>
      <c r="W43" s="12"/>
      <c r="X43" s="12"/>
      <c r="AA43" s="12"/>
      <c r="AC43" s="12"/>
      <c r="AE43" s="12"/>
      <c r="AG43" s="12"/>
      <c r="AI43" s="12"/>
      <c r="AK43" s="12"/>
      <c r="AM43" s="12"/>
      <c r="AO43" s="12"/>
      <c r="AQ43" s="12"/>
      <c r="AU43" s="12"/>
      <c r="AW43" s="12"/>
      <c r="AY43" s="12"/>
    </row>
    <row r="44" spans="1:52" ht="15" customHeight="1" x14ac:dyDescent="0.3">
      <c r="A44" s="1" t="s">
        <v>33</v>
      </c>
      <c r="B44" s="1">
        <v>2022</v>
      </c>
      <c r="C44" s="1" t="s">
        <v>41</v>
      </c>
      <c r="D44" s="9">
        <v>2293.6999999999998</v>
      </c>
      <c r="E44" s="17">
        <f t="shared" ref="E44:E52" si="4">(D44-D43)/D44</f>
        <v>9.1555129267119036E-4</v>
      </c>
      <c r="F44" s="12"/>
      <c r="G44" s="12"/>
      <c r="H44" s="12"/>
      <c r="I44" s="12"/>
      <c r="J44" s="12"/>
      <c r="K44" s="12"/>
      <c r="L44" s="11" t="s">
        <v>33</v>
      </c>
      <c r="M44" s="11" t="s">
        <v>5</v>
      </c>
      <c r="N44" s="11">
        <v>172.8</v>
      </c>
      <c r="O44" s="11">
        <v>176.7</v>
      </c>
      <c r="P44" s="50">
        <f t="shared" ref="P44:P54" si="5">(O44-N44)/O44</f>
        <v>2.207130730050921E-2</v>
      </c>
      <c r="Q44" s="12"/>
      <c r="R44" s="12"/>
      <c r="S44" s="12"/>
      <c r="T44" s="12"/>
      <c r="U44" s="12"/>
      <c r="V44" s="12"/>
      <c r="W44" s="12"/>
      <c r="X44" s="12"/>
      <c r="AA44" s="12"/>
      <c r="AC44" s="12"/>
      <c r="AE44" s="12"/>
      <c r="AG44" s="12"/>
      <c r="AI44" s="12"/>
      <c r="AK44" s="12"/>
      <c r="AM44" s="12"/>
      <c r="AO44" s="12"/>
      <c r="AQ44" s="12"/>
      <c r="AU44" s="12"/>
      <c r="AW44" s="12"/>
      <c r="AY44" s="12"/>
    </row>
    <row r="45" spans="1:52" ht="15" customHeight="1" x14ac:dyDescent="0.3">
      <c r="A45" s="1" t="s">
        <v>33</v>
      </c>
      <c r="B45" s="1">
        <v>2022</v>
      </c>
      <c r="C45" s="1" t="s">
        <v>42</v>
      </c>
      <c r="D45" s="9">
        <v>2306.4</v>
      </c>
      <c r="E45" s="17">
        <f t="shared" si="4"/>
        <v>5.5064169268124663E-3</v>
      </c>
      <c r="F45" s="12"/>
      <c r="G45" s="12"/>
      <c r="H45" s="12"/>
      <c r="I45" s="12"/>
      <c r="J45" s="12"/>
      <c r="K45" s="12"/>
      <c r="L45" s="11" t="s">
        <v>33</v>
      </c>
      <c r="M45" s="11" t="s">
        <v>6</v>
      </c>
      <c r="N45" s="11">
        <v>166.4</v>
      </c>
      <c r="O45" s="11">
        <v>179.4</v>
      </c>
      <c r="P45" s="50">
        <f t="shared" si="5"/>
        <v>7.2463768115942032E-2</v>
      </c>
      <c r="Q45" s="12"/>
      <c r="R45" s="12"/>
      <c r="S45" s="12"/>
      <c r="T45" s="12"/>
      <c r="U45" s="12"/>
      <c r="V45" s="12"/>
      <c r="W45" s="12"/>
      <c r="X45" s="12"/>
      <c r="AA45" s="12"/>
      <c r="AC45" s="12"/>
      <c r="AE45" s="12"/>
      <c r="AG45" s="12"/>
      <c r="AI45" s="12"/>
      <c r="AK45" s="12"/>
      <c r="AM45" s="12"/>
      <c r="AO45" s="12"/>
      <c r="AQ45" s="12"/>
      <c r="AU45" s="12"/>
      <c r="AW45" s="12"/>
      <c r="AY45" s="12"/>
    </row>
    <row r="46" spans="1:52" ht="15" customHeight="1" x14ac:dyDescent="0.3">
      <c r="A46" s="1" t="s">
        <v>33</v>
      </c>
      <c r="B46" s="1">
        <v>2022</v>
      </c>
      <c r="C46" s="1" t="s">
        <v>43</v>
      </c>
      <c r="D46" s="9">
        <v>2322.3000000000002</v>
      </c>
      <c r="E46" s="17">
        <f t="shared" si="4"/>
        <v>6.8466606381604829E-3</v>
      </c>
      <c r="F46" s="12"/>
      <c r="G46" s="12"/>
      <c r="H46" s="12"/>
      <c r="I46" s="12"/>
      <c r="J46" s="12"/>
      <c r="K46" s="12"/>
      <c r="L46" s="11" t="s">
        <v>33</v>
      </c>
      <c r="M46" s="53" t="s">
        <v>7</v>
      </c>
      <c r="N46" s="11">
        <v>188.6</v>
      </c>
      <c r="O46" s="11">
        <v>164.4</v>
      </c>
      <c r="P46" s="57">
        <f>(N46-O46)/O46</f>
        <v>0.1472019464720194</v>
      </c>
      <c r="Q46" s="12"/>
      <c r="R46" s="12"/>
      <c r="S46" s="12"/>
      <c r="T46" s="12"/>
      <c r="U46" s="12"/>
      <c r="V46" s="12"/>
      <c r="W46" s="12"/>
      <c r="X46" s="12"/>
      <c r="AA46" s="12"/>
      <c r="AC46" s="12"/>
      <c r="AE46" s="12"/>
      <c r="AG46" s="12"/>
      <c r="AI46" s="12"/>
      <c r="AK46" s="12"/>
      <c r="AM46" s="12"/>
      <c r="AO46" s="12"/>
      <c r="AQ46" s="12"/>
      <c r="AU46" s="12"/>
      <c r="AW46" s="12"/>
      <c r="AY46" s="12"/>
    </row>
    <row r="47" spans="1:52" ht="15" customHeight="1" x14ac:dyDescent="0.3">
      <c r="A47" s="1" t="s">
        <v>33</v>
      </c>
      <c r="B47" s="1">
        <v>2022</v>
      </c>
      <c r="C47" s="1" t="s">
        <v>45</v>
      </c>
      <c r="D47" s="9">
        <v>2314.4</v>
      </c>
      <c r="E47" s="17">
        <f>(D46-D47)/D47</f>
        <v>3.4134116833736995E-3</v>
      </c>
      <c r="F47" s="12"/>
      <c r="G47" s="12"/>
      <c r="H47" s="12"/>
      <c r="I47" s="12"/>
      <c r="J47" s="12"/>
      <c r="K47" s="12"/>
      <c r="L47" s="11" t="s">
        <v>33</v>
      </c>
      <c r="M47" s="11" t="s">
        <v>8</v>
      </c>
      <c r="N47" s="11">
        <v>174.1</v>
      </c>
      <c r="O47" s="11">
        <v>175.8</v>
      </c>
      <c r="P47" s="50">
        <f t="shared" si="5"/>
        <v>9.670079635950039E-3</v>
      </c>
      <c r="Q47" s="12"/>
      <c r="R47" s="12"/>
      <c r="S47" s="12"/>
      <c r="T47" s="12"/>
      <c r="U47" s="12"/>
      <c r="V47" s="12"/>
      <c r="W47" s="12"/>
      <c r="X47" s="12"/>
      <c r="AA47" s="12"/>
      <c r="AC47" s="12"/>
      <c r="AE47" s="12"/>
      <c r="AG47" s="12"/>
      <c r="AI47" s="12"/>
      <c r="AK47" s="12"/>
      <c r="AM47" s="12"/>
      <c r="AO47" s="12"/>
      <c r="AQ47" s="12"/>
      <c r="AU47" s="12"/>
      <c r="AW47" s="12"/>
      <c r="AY47" s="12"/>
    </row>
    <row r="48" spans="1:52" ht="15" customHeight="1" x14ac:dyDescent="0.3">
      <c r="A48" s="1" t="s">
        <v>33</v>
      </c>
      <c r="B48" s="1">
        <v>2022</v>
      </c>
      <c r="C48" s="1" t="s">
        <v>46</v>
      </c>
      <c r="D48" s="9">
        <v>2295.7999999999997</v>
      </c>
      <c r="E48" s="17">
        <f>(D47-D48)/D48</f>
        <v>8.1017510236084875E-3</v>
      </c>
      <c r="F48" s="12"/>
      <c r="G48" s="12"/>
      <c r="H48" s="12"/>
      <c r="I48" s="12"/>
      <c r="J48" s="12"/>
      <c r="K48" s="12"/>
      <c r="L48" s="11" t="s">
        <v>33</v>
      </c>
      <c r="M48" s="11" t="s">
        <v>9</v>
      </c>
      <c r="N48" s="11">
        <v>211.5</v>
      </c>
      <c r="O48" s="11">
        <v>185</v>
      </c>
      <c r="P48" s="50">
        <f>(N48-O48)/O48</f>
        <v>0.14324324324324325</v>
      </c>
      <c r="Q48" s="12"/>
      <c r="R48" s="12"/>
      <c r="S48" s="12"/>
      <c r="T48" s="12"/>
      <c r="U48" s="12"/>
      <c r="V48" s="12"/>
      <c r="W48" s="12"/>
      <c r="X48" s="12"/>
      <c r="AA48" s="12"/>
      <c r="AC48" s="12"/>
      <c r="AE48" s="12"/>
      <c r="AG48" s="12"/>
      <c r="AI48" s="12"/>
      <c r="AK48" s="12"/>
      <c r="AM48" s="12"/>
      <c r="AO48" s="12"/>
      <c r="AQ48" s="12"/>
      <c r="AU48" s="12"/>
      <c r="AW48" s="12"/>
      <c r="AY48" s="12"/>
    </row>
    <row r="49" spans="1:51" ht="15" customHeight="1" x14ac:dyDescent="0.3">
      <c r="A49" s="1" t="s">
        <v>33</v>
      </c>
      <c r="B49" s="1">
        <v>2023</v>
      </c>
      <c r="C49" s="1" t="s">
        <v>31</v>
      </c>
      <c r="D49" s="9">
        <v>2310.2000000000003</v>
      </c>
      <c r="E49" s="17">
        <f t="shared" si="4"/>
        <v>6.23322656047119E-3</v>
      </c>
      <c r="F49" s="12"/>
      <c r="G49" s="12"/>
      <c r="H49" s="12"/>
      <c r="I49" s="12"/>
      <c r="J49" s="12"/>
      <c r="K49" s="12"/>
      <c r="L49" s="11" t="s">
        <v>33</v>
      </c>
      <c r="M49" s="11" t="s">
        <v>10</v>
      </c>
      <c r="N49" s="11">
        <v>163.6</v>
      </c>
      <c r="O49" s="11">
        <v>176.9</v>
      </c>
      <c r="P49" s="50">
        <f t="shared" si="5"/>
        <v>7.5183719615602093E-2</v>
      </c>
      <c r="Q49" s="12"/>
      <c r="R49" s="12"/>
      <c r="S49" s="12"/>
      <c r="T49" s="12"/>
      <c r="U49" s="12"/>
      <c r="V49" s="12"/>
      <c r="W49" s="12"/>
      <c r="X49" s="12"/>
      <c r="AA49" s="12"/>
      <c r="AC49" s="12"/>
      <c r="AE49" s="12"/>
      <c r="AG49" s="12"/>
      <c r="AI49" s="12"/>
      <c r="AK49" s="12"/>
      <c r="AM49" s="12"/>
      <c r="AO49" s="12"/>
      <c r="AQ49" s="12"/>
      <c r="AU49" s="12"/>
      <c r="AW49" s="12"/>
      <c r="AY49" s="12"/>
    </row>
    <row r="50" spans="1:51" ht="15" customHeight="1" x14ac:dyDescent="0.3">
      <c r="A50" s="1" t="s">
        <v>33</v>
      </c>
      <c r="B50" s="1">
        <v>2023</v>
      </c>
      <c r="C50" s="1" t="s">
        <v>35</v>
      </c>
      <c r="D50" s="9">
        <v>2303.1999999999998</v>
      </c>
      <c r="E50" s="17">
        <f>(D49-D50)/D50</f>
        <v>3.039249739493077E-3</v>
      </c>
      <c r="F50" s="12"/>
      <c r="G50" s="12"/>
      <c r="H50" s="12"/>
      <c r="I50" s="12"/>
      <c r="J50" s="12"/>
      <c r="K50" s="12"/>
      <c r="L50" s="11" t="s">
        <v>33</v>
      </c>
      <c r="M50" s="11" t="s">
        <v>11</v>
      </c>
      <c r="N50" s="11">
        <v>121.4</v>
      </c>
      <c r="O50" s="11">
        <v>124.2</v>
      </c>
      <c r="P50" s="50">
        <f t="shared" si="5"/>
        <v>2.2544283413848606E-2</v>
      </c>
      <c r="Q50" s="12"/>
      <c r="R50" s="12"/>
      <c r="S50" s="12"/>
      <c r="T50" s="12"/>
      <c r="U50" s="12"/>
      <c r="V50" s="12"/>
      <c r="W50" s="12"/>
      <c r="X50" s="12"/>
      <c r="AA50" s="12"/>
      <c r="AC50" s="12"/>
      <c r="AE50" s="12"/>
      <c r="AG50" s="12"/>
      <c r="AI50" s="12"/>
      <c r="AK50" s="12"/>
      <c r="AM50" s="12"/>
      <c r="AO50" s="12"/>
      <c r="AQ50" s="12"/>
      <c r="AU50" s="12"/>
      <c r="AW50" s="12"/>
      <c r="AY50" s="12"/>
    </row>
    <row r="51" spans="1:51" ht="15" customHeight="1" x14ac:dyDescent="0.3">
      <c r="A51" s="1" t="s">
        <v>33</v>
      </c>
      <c r="B51" s="1">
        <v>2023</v>
      </c>
      <c r="C51" s="1" t="s">
        <v>36</v>
      </c>
      <c r="D51" s="9">
        <v>2303.4</v>
      </c>
      <c r="E51" s="17">
        <f t="shared" si="4"/>
        <v>8.682816705751187E-5</v>
      </c>
      <c r="F51" s="12"/>
      <c r="G51" s="12"/>
      <c r="H51" s="12"/>
      <c r="I51" s="12"/>
      <c r="J51" s="12"/>
      <c r="K51" s="12"/>
      <c r="L51" s="11" t="s">
        <v>33</v>
      </c>
      <c r="M51" s="11" t="s">
        <v>12</v>
      </c>
      <c r="N51" s="11">
        <v>183.5</v>
      </c>
      <c r="O51" s="11">
        <v>211.9</v>
      </c>
      <c r="P51" s="50">
        <f t="shared" si="5"/>
        <v>0.13402548371873527</v>
      </c>
      <c r="Q51" s="12"/>
      <c r="R51" s="12"/>
      <c r="S51" s="12"/>
      <c r="T51" s="12"/>
      <c r="U51" s="12"/>
      <c r="V51" s="12"/>
      <c r="W51" s="12"/>
      <c r="X51" s="12"/>
      <c r="AA51" s="12"/>
      <c r="AC51" s="12"/>
      <c r="AE51" s="12"/>
      <c r="AG51" s="12"/>
      <c r="AI51" s="12"/>
      <c r="AK51" s="12"/>
      <c r="AM51" s="12"/>
      <c r="AO51" s="12"/>
      <c r="AQ51" s="12"/>
      <c r="AU51" s="12"/>
      <c r="AW51" s="12"/>
      <c r="AY51" s="12"/>
    </row>
    <row r="52" spans="1:51" ht="15" customHeight="1" x14ac:dyDescent="0.3">
      <c r="A52" s="1" t="s">
        <v>33</v>
      </c>
      <c r="B52" s="1">
        <v>2023</v>
      </c>
      <c r="C52" s="1" t="s">
        <v>37</v>
      </c>
      <c r="D52" s="9">
        <v>2317.7000000000003</v>
      </c>
      <c r="E52" s="17">
        <f t="shared" si="4"/>
        <v>6.1699098243949519E-3</v>
      </c>
      <c r="F52" s="12"/>
      <c r="G52" s="12"/>
      <c r="H52" s="12"/>
      <c r="I52" s="12"/>
      <c r="J52" s="12"/>
      <c r="K52" s="12"/>
      <c r="L52" s="11" t="s">
        <v>33</v>
      </c>
      <c r="M52" s="11" t="s">
        <v>13</v>
      </c>
      <c r="N52" s="11">
        <v>159.1</v>
      </c>
      <c r="O52" s="11">
        <v>165.9</v>
      </c>
      <c r="P52" s="50">
        <f t="shared" si="5"/>
        <v>4.0988547317661307E-2</v>
      </c>
      <c r="Q52" s="12"/>
      <c r="R52" s="12"/>
      <c r="S52" s="12"/>
      <c r="T52" s="12"/>
      <c r="U52" s="12"/>
      <c r="V52" s="12"/>
      <c r="W52" s="12"/>
      <c r="X52" s="12"/>
      <c r="AA52" s="12"/>
      <c r="AC52" s="12"/>
      <c r="AE52" s="12"/>
      <c r="AG52" s="12"/>
      <c r="AI52" s="12"/>
      <c r="AK52" s="12"/>
      <c r="AM52" s="12"/>
      <c r="AO52" s="12"/>
      <c r="AQ52" s="12"/>
      <c r="AU52" s="12"/>
      <c r="AW52" s="12"/>
      <c r="AY52" s="12"/>
    </row>
    <row r="53" spans="1:51" ht="15" customHeight="1" x14ac:dyDescent="0.3">
      <c r="A53" s="1" t="s">
        <v>33</v>
      </c>
      <c r="B53" s="1">
        <v>2023</v>
      </c>
      <c r="C53" s="1" t="s">
        <v>38</v>
      </c>
      <c r="D53" s="9">
        <v>2335.1</v>
      </c>
      <c r="E53" s="17">
        <f>(D53-D52)/D53</f>
        <v>7.4515010063807277E-3</v>
      </c>
      <c r="F53" s="12"/>
      <c r="G53" s="12"/>
      <c r="H53" s="12"/>
      <c r="I53" s="12"/>
      <c r="J53" s="12"/>
      <c r="K53" s="12"/>
      <c r="L53" s="11" t="s">
        <v>33</v>
      </c>
      <c r="M53" s="11" t="s">
        <v>14</v>
      </c>
      <c r="N53" s="11">
        <v>186.3</v>
      </c>
      <c r="O53" s="11">
        <v>197.7</v>
      </c>
      <c r="P53" s="50">
        <f t="shared" si="5"/>
        <v>5.7663125948406564E-2</v>
      </c>
      <c r="Q53" s="12"/>
      <c r="R53" s="12"/>
      <c r="S53" s="12"/>
      <c r="T53" s="12"/>
      <c r="U53" s="12"/>
      <c r="V53" s="12"/>
      <c r="W53" s="12"/>
      <c r="X53" s="12"/>
      <c r="AA53" s="12"/>
      <c r="AC53" s="12"/>
      <c r="AE53" s="12"/>
      <c r="AG53" s="12"/>
      <c r="AI53" s="12"/>
      <c r="AK53" s="12"/>
      <c r="AM53" s="12"/>
      <c r="AO53" s="12"/>
      <c r="AQ53" s="12"/>
      <c r="AU53" s="12"/>
      <c r="AW53" s="12"/>
      <c r="AY53" s="12"/>
    </row>
    <row r="54" spans="1:51" ht="15" customHeight="1" x14ac:dyDescent="0.3">
      <c r="E54" s="12"/>
      <c r="F54" s="12"/>
      <c r="G54" s="12"/>
      <c r="H54" s="12"/>
      <c r="I54" s="12"/>
      <c r="J54" s="12"/>
      <c r="K54" s="12"/>
      <c r="L54" s="11" t="s">
        <v>33</v>
      </c>
      <c r="M54" s="11" t="s">
        <v>15</v>
      </c>
      <c r="N54" s="11">
        <v>179.3</v>
      </c>
      <c r="O54" s="11">
        <v>183.1</v>
      </c>
      <c r="P54" s="50">
        <f t="shared" si="5"/>
        <v>2.0753686510103675E-2</v>
      </c>
      <c r="Q54" s="12"/>
      <c r="R54" s="12"/>
      <c r="S54" s="12"/>
      <c r="T54" s="12"/>
      <c r="U54" s="12"/>
      <c r="V54" s="12"/>
      <c r="W54" s="12"/>
      <c r="X54" s="12"/>
      <c r="AA54" s="12"/>
      <c r="AC54" s="12"/>
      <c r="AE54" s="12"/>
      <c r="AG54" s="12"/>
      <c r="AI54" s="12"/>
      <c r="AK54" s="12"/>
      <c r="AO54" s="12"/>
      <c r="AQ54" s="12"/>
      <c r="AS54" s="12"/>
      <c r="AU54" s="12"/>
      <c r="AW54" s="12"/>
      <c r="AY54" s="12"/>
    </row>
    <row r="55" spans="1:51" ht="15" customHeight="1" x14ac:dyDescent="0.3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AA55" s="12"/>
      <c r="AC55" s="12"/>
      <c r="AE55" s="12"/>
      <c r="AG55" s="12"/>
      <c r="AI55" s="12"/>
      <c r="AK55" s="12"/>
      <c r="AO55" s="12"/>
      <c r="AQ55" s="12"/>
      <c r="AS55" s="12"/>
      <c r="AU55" s="12"/>
      <c r="AW55" s="12"/>
      <c r="AY55" s="12"/>
    </row>
    <row r="56" spans="1:51" ht="15" customHeight="1" x14ac:dyDescent="0.3">
      <c r="A56" s="72" t="s">
        <v>91</v>
      </c>
      <c r="B56" s="7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AA56" s="12"/>
      <c r="AC56" s="12"/>
      <c r="AE56" s="12"/>
      <c r="AG56" s="12"/>
      <c r="AI56" s="12"/>
      <c r="AK56" s="12"/>
      <c r="AO56" s="12"/>
      <c r="AQ56" s="12"/>
      <c r="AS56" s="12"/>
      <c r="AU56" s="12"/>
      <c r="AW56" s="12"/>
      <c r="AY56" s="12"/>
    </row>
    <row r="57" spans="1:51" ht="15" customHeight="1" x14ac:dyDescent="0.3">
      <c r="A57" s="68" t="s">
        <v>110</v>
      </c>
      <c r="B57" s="68"/>
      <c r="C57" s="68"/>
      <c r="D57" s="68"/>
      <c r="E57" s="68"/>
      <c r="F57" s="68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AA57" s="12"/>
      <c r="AC57" s="12"/>
      <c r="AE57" s="12"/>
      <c r="AG57" s="12"/>
      <c r="AI57" s="12"/>
      <c r="AK57" s="12"/>
      <c r="AO57" s="12"/>
      <c r="AQ57" s="12"/>
      <c r="AS57" s="12"/>
      <c r="AU57" s="12"/>
      <c r="AW57" s="12"/>
      <c r="AY57" s="12"/>
    </row>
    <row r="58" spans="1:51" ht="15" customHeight="1" x14ac:dyDescent="0.3">
      <c r="A58" s="68"/>
      <c r="B58" s="68"/>
      <c r="C58" s="68"/>
      <c r="D58" s="68"/>
      <c r="E58" s="68"/>
      <c r="F58" s="68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AA58" s="12"/>
      <c r="AC58" s="12"/>
      <c r="AE58" s="12"/>
      <c r="AG58" s="12"/>
      <c r="AI58" s="12"/>
      <c r="AK58" s="12"/>
      <c r="AO58" s="12"/>
      <c r="AQ58" s="12"/>
      <c r="AS58" s="12"/>
      <c r="AU58" s="12"/>
      <c r="AW58" s="12"/>
      <c r="AY58" s="12"/>
    </row>
    <row r="59" spans="1:51" ht="15" customHeight="1" x14ac:dyDescent="0.3">
      <c r="A59" s="68"/>
      <c r="B59" s="68"/>
      <c r="C59" s="68"/>
      <c r="D59" s="68"/>
      <c r="E59" s="68"/>
      <c r="F59" s="68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AA59" s="12"/>
      <c r="AC59" s="12"/>
      <c r="AE59" s="12"/>
      <c r="AG59" s="12"/>
      <c r="AI59" s="12"/>
      <c r="AK59" s="12"/>
      <c r="AO59" s="12"/>
      <c r="AQ59" s="12"/>
      <c r="AS59" s="12"/>
      <c r="AU59" s="12"/>
      <c r="AW59" s="12"/>
      <c r="AY59" s="12"/>
    </row>
    <row r="60" spans="1:51" ht="15" customHeight="1" x14ac:dyDescent="0.3">
      <c r="A60" s="68"/>
      <c r="B60" s="68"/>
      <c r="C60" s="68"/>
      <c r="D60" s="68"/>
      <c r="E60" s="68"/>
      <c r="F60" s="68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AA60" s="12"/>
      <c r="AC60" s="12"/>
      <c r="AE60" s="12"/>
      <c r="AG60" s="12"/>
      <c r="AI60" s="12"/>
      <c r="AK60" s="12"/>
      <c r="AO60" s="12"/>
      <c r="AQ60" s="12"/>
      <c r="AS60" s="12"/>
      <c r="AU60" s="12"/>
      <c r="AW60" s="12"/>
      <c r="AY60" s="12"/>
    </row>
    <row r="61" spans="1:51" ht="15" customHeight="1" x14ac:dyDescent="0.3">
      <c r="A61" s="69"/>
      <c r="B61" s="69"/>
      <c r="C61" s="69"/>
      <c r="D61" s="69"/>
      <c r="E61" s="6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AA61" s="12"/>
      <c r="AC61" s="12"/>
      <c r="AE61" s="12"/>
      <c r="AG61" s="12"/>
      <c r="AI61" s="12"/>
      <c r="AK61" s="12"/>
      <c r="AO61" s="12"/>
      <c r="AQ61" s="12"/>
      <c r="AS61" s="12"/>
      <c r="AU61" s="12"/>
      <c r="AW61" s="12"/>
      <c r="AY61" s="12"/>
    </row>
    <row r="62" spans="1:51" ht="15" customHeight="1" x14ac:dyDescent="0.3">
      <c r="A62" s="69"/>
      <c r="B62" s="69"/>
      <c r="C62" s="69"/>
      <c r="D62" s="69"/>
      <c r="E62" s="6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AA62" s="12"/>
      <c r="AC62" s="12"/>
      <c r="AE62" s="12"/>
      <c r="AG62" s="12"/>
      <c r="AI62" s="12"/>
      <c r="AK62" s="12"/>
      <c r="AO62" s="12"/>
      <c r="AQ62" s="12"/>
      <c r="AS62" s="12"/>
      <c r="AU62" s="12"/>
      <c r="AW62" s="12"/>
      <c r="AY62" s="12"/>
    </row>
    <row r="63" spans="1:51" ht="15" customHeight="1" x14ac:dyDescent="0.3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AA63" s="12"/>
      <c r="AC63" s="12"/>
      <c r="AE63" s="12"/>
      <c r="AG63" s="12"/>
      <c r="AI63" s="12"/>
      <c r="AK63" s="12"/>
      <c r="AO63" s="12"/>
      <c r="AQ63" s="12"/>
      <c r="AS63" s="12"/>
      <c r="AU63" s="12"/>
      <c r="AW63" s="12"/>
      <c r="AY63" s="12"/>
    </row>
    <row r="64" spans="1:51" ht="15" customHeight="1" x14ac:dyDescent="0.3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AA64" s="12"/>
      <c r="AC64" s="12"/>
      <c r="AE64" s="12"/>
      <c r="AG64" s="12"/>
      <c r="AI64" s="12"/>
      <c r="AK64" s="12"/>
      <c r="AO64" s="12"/>
      <c r="AQ64" s="12"/>
      <c r="AS64" s="12"/>
      <c r="AU64" s="12"/>
      <c r="AW64" s="12"/>
      <c r="AY64" s="12"/>
    </row>
    <row r="65" spans="5:51" ht="15" customHeight="1" x14ac:dyDescent="0.3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AA65" s="12"/>
      <c r="AC65" s="12"/>
      <c r="AE65" s="12"/>
      <c r="AG65" s="12"/>
      <c r="AI65" s="12"/>
      <c r="AK65" s="12"/>
      <c r="AO65" s="12"/>
      <c r="AQ65" s="12"/>
      <c r="AS65" s="12"/>
      <c r="AU65" s="12"/>
      <c r="AW65" s="12"/>
      <c r="AY65" s="12"/>
    </row>
    <row r="66" spans="5:51" ht="15" customHeight="1" x14ac:dyDescent="0.3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AA66" s="12"/>
      <c r="AC66" s="12"/>
      <c r="AE66" s="12"/>
      <c r="AG66" s="12"/>
      <c r="AI66" s="12"/>
      <c r="AK66" s="12"/>
      <c r="AO66" s="12"/>
      <c r="AQ66" s="12"/>
      <c r="AS66" s="12"/>
      <c r="AU66" s="12"/>
      <c r="AW66" s="12"/>
      <c r="AY66" s="12"/>
    </row>
    <row r="67" spans="5:51" ht="15" customHeight="1" x14ac:dyDescent="0.3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AA67" s="12"/>
      <c r="AC67" s="12"/>
      <c r="AE67" s="12"/>
      <c r="AG67" s="12"/>
      <c r="AI67" s="12"/>
      <c r="AK67" s="12"/>
      <c r="AO67" s="12"/>
      <c r="AQ67" s="12"/>
      <c r="AS67" s="12"/>
      <c r="AU67" s="12"/>
      <c r="AW67" s="12"/>
      <c r="AY67" s="12"/>
    </row>
    <row r="68" spans="5:51" ht="15" customHeight="1" x14ac:dyDescent="0.3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AA68" s="12"/>
      <c r="AC68" s="12"/>
      <c r="AE68" s="12"/>
      <c r="AG68" s="12"/>
      <c r="AI68" s="12"/>
      <c r="AK68" s="12"/>
      <c r="AO68" s="12"/>
      <c r="AQ68" s="12"/>
      <c r="AS68" s="12"/>
      <c r="AU68" s="12"/>
      <c r="AW68" s="12"/>
      <c r="AY68" s="12"/>
    </row>
    <row r="69" spans="5:51" ht="15" customHeight="1" x14ac:dyDescent="0.3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AA69" s="12"/>
      <c r="AC69" s="12"/>
      <c r="AE69" s="12"/>
      <c r="AG69" s="12"/>
      <c r="AI69" s="12"/>
      <c r="AK69" s="12"/>
      <c r="AO69" s="12"/>
      <c r="AQ69" s="12"/>
      <c r="AS69" s="12"/>
      <c r="AU69" s="12"/>
      <c r="AW69" s="12"/>
      <c r="AY69" s="12"/>
    </row>
    <row r="70" spans="5:51" ht="15" customHeight="1" x14ac:dyDescent="0.3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AA70" s="12"/>
      <c r="AC70" s="12"/>
      <c r="AE70" s="12"/>
      <c r="AG70" s="12"/>
      <c r="AI70" s="12"/>
      <c r="AK70" s="12"/>
      <c r="AO70" s="12"/>
      <c r="AQ70" s="12"/>
      <c r="AS70" s="12"/>
      <c r="AU70" s="12"/>
      <c r="AW70" s="12"/>
      <c r="AY70" s="12"/>
    </row>
    <row r="71" spans="5:51" ht="15" customHeight="1" x14ac:dyDescent="0.3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AA71" s="12"/>
      <c r="AC71" s="12"/>
      <c r="AE71" s="12"/>
      <c r="AG71" s="12"/>
      <c r="AI71" s="12"/>
      <c r="AK71" s="12"/>
      <c r="AO71" s="12"/>
      <c r="AQ71" s="12"/>
      <c r="AS71" s="12"/>
      <c r="AU71" s="12"/>
      <c r="AW71" s="12"/>
      <c r="AY71" s="12"/>
    </row>
    <row r="72" spans="5:51" ht="15" customHeight="1" x14ac:dyDescent="0.3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AA72" s="12"/>
      <c r="AC72" s="12"/>
      <c r="AE72" s="12"/>
      <c r="AG72" s="12"/>
      <c r="AI72" s="12"/>
      <c r="AK72" s="12"/>
      <c r="AO72" s="12"/>
      <c r="AQ72" s="12"/>
      <c r="AS72" s="12"/>
      <c r="AU72" s="12"/>
      <c r="AW72" s="12"/>
      <c r="AY72" s="12"/>
    </row>
    <row r="73" spans="5:51" ht="15" customHeight="1" x14ac:dyDescent="0.3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AA73" s="12"/>
      <c r="AC73" s="12"/>
      <c r="AE73" s="12"/>
      <c r="AG73" s="12"/>
      <c r="AI73" s="12"/>
      <c r="AK73" s="12"/>
      <c r="AO73" s="12"/>
      <c r="AQ73" s="12"/>
      <c r="AS73" s="12"/>
      <c r="AU73" s="12"/>
      <c r="AW73" s="12"/>
      <c r="AY73" s="12"/>
    </row>
    <row r="74" spans="5:51" ht="15" customHeight="1" x14ac:dyDescent="0.3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AA74" s="12"/>
      <c r="AC74" s="12"/>
      <c r="AE74" s="12"/>
      <c r="AG74" s="12"/>
      <c r="AI74" s="12"/>
      <c r="AK74" s="12"/>
      <c r="AO74" s="12"/>
      <c r="AQ74" s="12"/>
      <c r="AS74" s="12"/>
      <c r="AU74" s="12"/>
      <c r="AW74" s="12"/>
      <c r="AY74" s="12"/>
    </row>
    <row r="75" spans="5:51" ht="15" customHeight="1" x14ac:dyDescent="0.3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AA75" s="12"/>
      <c r="AC75" s="12"/>
      <c r="AE75" s="12"/>
      <c r="AG75" s="12"/>
      <c r="AI75" s="12"/>
      <c r="AK75" s="12"/>
      <c r="AO75" s="12"/>
      <c r="AQ75" s="12"/>
      <c r="AS75" s="12"/>
      <c r="AU75" s="12"/>
      <c r="AW75" s="12"/>
      <c r="AY75" s="12"/>
    </row>
    <row r="76" spans="5:51" ht="15" customHeight="1" x14ac:dyDescent="0.3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AA76" s="12"/>
      <c r="AC76" s="12"/>
      <c r="AE76" s="12"/>
      <c r="AG76" s="12"/>
      <c r="AI76" s="12"/>
      <c r="AK76" s="12"/>
      <c r="AO76" s="12"/>
      <c r="AQ76" s="12"/>
      <c r="AS76" s="12"/>
      <c r="AU76" s="12"/>
      <c r="AW76" s="12"/>
      <c r="AY76" s="12"/>
    </row>
    <row r="77" spans="5:51" ht="15" customHeight="1" x14ac:dyDescent="0.3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AA77" s="12"/>
      <c r="AC77" s="12"/>
      <c r="AE77" s="12"/>
      <c r="AG77" s="12"/>
      <c r="AI77" s="12"/>
      <c r="AK77" s="12"/>
      <c r="AO77" s="12"/>
      <c r="AQ77" s="12"/>
      <c r="AS77" s="12"/>
      <c r="AU77" s="12"/>
      <c r="AW77" s="12"/>
      <c r="AY77" s="12"/>
    </row>
    <row r="78" spans="5:51" ht="15" customHeight="1" x14ac:dyDescent="0.3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AA78" s="12"/>
      <c r="AC78" s="12"/>
      <c r="AE78" s="12"/>
      <c r="AG78" s="12"/>
      <c r="AI78" s="12"/>
      <c r="AK78" s="12"/>
      <c r="AO78" s="12"/>
      <c r="AQ78" s="12"/>
      <c r="AS78" s="12"/>
      <c r="AU78" s="12"/>
      <c r="AW78" s="12"/>
      <c r="AY78" s="12"/>
    </row>
    <row r="79" spans="5:51" ht="15" customHeight="1" x14ac:dyDescent="0.3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AA79" s="12"/>
      <c r="AC79" s="12"/>
      <c r="AE79" s="12"/>
      <c r="AG79" s="12"/>
      <c r="AI79" s="12"/>
      <c r="AK79" s="12"/>
      <c r="AO79" s="12"/>
      <c r="AQ79" s="12"/>
      <c r="AS79" s="12"/>
      <c r="AU79" s="12"/>
      <c r="AW79" s="12"/>
      <c r="AY79" s="12"/>
    </row>
    <row r="80" spans="5:51" ht="15" customHeight="1" x14ac:dyDescent="0.3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AA80" s="12"/>
      <c r="AC80" s="12"/>
      <c r="AE80" s="12"/>
      <c r="AG80" s="12"/>
      <c r="AI80" s="12"/>
      <c r="AK80" s="12"/>
      <c r="AO80" s="12"/>
      <c r="AQ80" s="12"/>
      <c r="AS80" s="12"/>
      <c r="AU80" s="12"/>
      <c r="AW80" s="12"/>
      <c r="AY80" s="12"/>
    </row>
    <row r="81" spans="5:51" ht="15" customHeight="1" x14ac:dyDescent="0.3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AA81" s="12"/>
      <c r="AC81" s="12"/>
      <c r="AE81" s="12"/>
      <c r="AG81" s="12"/>
      <c r="AI81" s="12"/>
      <c r="AK81" s="12"/>
      <c r="AO81" s="12"/>
      <c r="AQ81" s="12"/>
      <c r="AS81" s="12"/>
      <c r="AU81" s="12"/>
      <c r="AW81" s="12"/>
      <c r="AY81" s="12"/>
    </row>
  </sheetData>
  <mergeCells count="11">
    <mergeCell ref="A61:E61"/>
    <mergeCell ref="A62:E62"/>
    <mergeCell ref="A57:F60"/>
    <mergeCell ref="A2:H3"/>
    <mergeCell ref="A5:D5"/>
    <mergeCell ref="A56:B56"/>
    <mergeCell ref="L5:N5"/>
    <mergeCell ref="L22:N22"/>
    <mergeCell ref="A39:D39"/>
    <mergeCell ref="L39:N39"/>
    <mergeCell ref="A22:E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4642-632C-4978-8488-811B06D07023}">
  <dimension ref="A2:R54"/>
  <sheetViews>
    <sheetView topLeftCell="E7" zoomScale="98" zoomScaleNormal="85" workbookViewId="0">
      <selection activeCell="G24" sqref="G24"/>
    </sheetView>
  </sheetViews>
  <sheetFormatPr defaultRowHeight="14.4" x14ac:dyDescent="0.3"/>
  <cols>
    <col min="1" max="1" width="5.6640625" bestFit="1" customWidth="1"/>
    <col min="2" max="2" width="16.109375" bestFit="1" customWidth="1"/>
    <col min="3" max="3" width="31.109375" bestFit="1" customWidth="1"/>
    <col min="4" max="4" width="13.6640625" bestFit="1" customWidth="1"/>
    <col min="5" max="5" width="16.6640625" bestFit="1" customWidth="1"/>
    <col min="6" max="6" width="1.5546875" bestFit="1" customWidth="1"/>
    <col min="7" max="7" width="13.6640625" bestFit="1" customWidth="1"/>
    <col min="8" max="8" width="41.33203125" bestFit="1" customWidth="1"/>
    <col min="9" max="9" width="16.6640625" bestFit="1" customWidth="1"/>
  </cols>
  <sheetData>
    <row r="2" spans="1:18" ht="25.8" x14ac:dyDescent="0.5">
      <c r="A2" s="74" t="s">
        <v>82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20"/>
      <c r="N2" s="20"/>
      <c r="O2" s="20"/>
      <c r="P2" s="20"/>
      <c r="Q2" s="20"/>
      <c r="R2" s="20"/>
    </row>
    <row r="4" spans="1:18" x14ac:dyDescent="0.3">
      <c r="A4">
        <v>2017</v>
      </c>
      <c r="B4" s="75" t="s">
        <v>86</v>
      </c>
      <c r="C4" s="75"/>
      <c r="D4" s="75"/>
    </row>
    <row r="5" spans="1:18" x14ac:dyDescent="0.3">
      <c r="A5">
        <v>2020</v>
      </c>
      <c r="B5" t="s">
        <v>59</v>
      </c>
    </row>
    <row r="6" spans="1:18" x14ac:dyDescent="0.3">
      <c r="A6">
        <v>2023</v>
      </c>
      <c r="B6" s="75" t="s">
        <v>87</v>
      </c>
      <c r="C6" s="75"/>
      <c r="D6" s="75"/>
    </row>
    <row r="8" spans="1:18" x14ac:dyDescent="0.3">
      <c r="C8" s="67" t="s">
        <v>88</v>
      </c>
      <c r="D8" s="67"/>
      <c r="H8" s="67" t="s">
        <v>83</v>
      </c>
      <c r="I8" s="67"/>
    </row>
    <row r="9" spans="1:18" x14ac:dyDescent="0.3">
      <c r="C9" s="19"/>
      <c r="D9" s="19"/>
      <c r="E9" s="27"/>
      <c r="F9" s="26"/>
      <c r="G9" s="28"/>
      <c r="H9" s="39"/>
      <c r="I9" s="39"/>
    </row>
    <row r="10" spans="1:18" x14ac:dyDescent="0.3">
      <c r="A10" s="8" t="s">
        <v>1</v>
      </c>
      <c r="B10" s="10" t="s">
        <v>2</v>
      </c>
      <c r="C10" s="10" t="s">
        <v>61</v>
      </c>
      <c r="D10" s="10" t="s">
        <v>51</v>
      </c>
      <c r="E10" s="22" t="s">
        <v>62</v>
      </c>
      <c r="F10" s="29"/>
      <c r="G10" s="37" t="s">
        <v>61</v>
      </c>
      <c r="H10" s="36" t="s">
        <v>51</v>
      </c>
      <c r="I10" s="36" t="s">
        <v>62</v>
      </c>
    </row>
    <row r="11" spans="1:18" x14ac:dyDescent="0.3">
      <c r="A11" s="9">
        <v>2017</v>
      </c>
      <c r="B11" s="11" t="s">
        <v>60</v>
      </c>
      <c r="C11" s="21">
        <v>123.1</v>
      </c>
      <c r="D11" s="21">
        <v>1705.6999999999998</v>
      </c>
      <c r="E11" s="23">
        <v>241.2</v>
      </c>
      <c r="F11" s="30"/>
      <c r="G11" s="38">
        <f>C21-C20</f>
        <v>37.700000000000045</v>
      </c>
      <c r="H11" s="35">
        <f>D21-D20</f>
        <v>458.19999999999936</v>
      </c>
      <c r="I11" s="35">
        <f>E21-E20</f>
        <v>61.399999999999949</v>
      </c>
    </row>
    <row r="12" spans="1:18" x14ac:dyDescent="0.3">
      <c r="A12" s="9">
        <v>2018</v>
      </c>
      <c r="B12" s="11" t="s">
        <v>60</v>
      </c>
      <c r="C12" s="21">
        <v>130.5</v>
      </c>
      <c r="D12" s="21">
        <v>1715.5</v>
      </c>
      <c r="E12" s="23">
        <v>248.60000000000002</v>
      </c>
      <c r="F12" s="31"/>
    </row>
    <row r="13" spans="1:18" x14ac:dyDescent="0.3">
      <c r="A13" s="9">
        <v>2019</v>
      </c>
      <c r="B13" s="11" t="s">
        <v>60</v>
      </c>
      <c r="C13" s="21">
        <v>139.19999999999999</v>
      </c>
      <c r="D13" s="21">
        <v>1768.4</v>
      </c>
      <c r="E13" s="23">
        <v>256.70000000000005</v>
      </c>
      <c r="F13" s="31"/>
    </row>
    <row r="14" spans="1:18" x14ac:dyDescent="0.3">
      <c r="A14" s="9">
        <v>2020</v>
      </c>
      <c r="B14" s="11" t="s">
        <v>60</v>
      </c>
      <c r="C14" s="11">
        <v>145</v>
      </c>
      <c r="D14" s="11">
        <v>1898.5</v>
      </c>
      <c r="E14" s="24">
        <v>265.39999999999998</v>
      </c>
      <c r="F14" s="31"/>
    </row>
    <row r="15" spans="1:18" x14ac:dyDescent="0.3">
      <c r="A15" s="9">
        <v>2021</v>
      </c>
      <c r="B15" s="11" t="s">
        <v>60</v>
      </c>
      <c r="C15" s="21">
        <v>156.9</v>
      </c>
      <c r="D15" s="21">
        <v>2064.4999999999995</v>
      </c>
      <c r="E15" s="23">
        <v>288.89999999999998</v>
      </c>
      <c r="F15" s="32"/>
      <c r="G15" s="33"/>
    </row>
    <row r="16" spans="1:18" x14ac:dyDescent="0.3">
      <c r="A16" s="9">
        <v>2022</v>
      </c>
      <c r="B16" s="11" t="s">
        <v>60</v>
      </c>
      <c r="C16" s="21">
        <v>168.2</v>
      </c>
      <c r="D16" s="21">
        <v>2196.3000000000002</v>
      </c>
      <c r="E16" s="23">
        <v>312.79999999999995</v>
      </c>
      <c r="F16" s="31"/>
    </row>
    <row r="17" spans="1:17" x14ac:dyDescent="0.3">
      <c r="A17" s="9">
        <v>2023</v>
      </c>
      <c r="B17" s="11" t="s">
        <v>60</v>
      </c>
      <c r="C17" s="21">
        <v>180.8</v>
      </c>
      <c r="D17" s="21">
        <v>2303.4</v>
      </c>
      <c r="E17" s="23">
        <v>329</v>
      </c>
      <c r="F17" s="31"/>
    </row>
    <row r="18" spans="1:17" x14ac:dyDescent="0.3">
      <c r="F18" s="34"/>
    </row>
    <row r="19" spans="1:17" x14ac:dyDescent="0.3">
      <c r="F19" s="26"/>
    </row>
    <row r="20" spans="1:17" x14ac:dyDescent="0.3">
      <c r="B20" s="1" t="s">
        <v>64</v>
      </c>
      <c r="C20" s="1">
        <f>AVERAGE(C11:C13)</f>
        <v>130.93333333333331</v>
      </c>
      <c r="D20" s="1">
        <f>AVERAGE(D11:D13)</f>
        <v>1729.8666666666668</v>
      </c>
      <c r="E20" s="1">
        <f>AVERAGE(E11:E13)</f>
        <v>248.83333333333334</v>
      </c>
    </row>
    <row r="21" spans="1:17" x14ac:dyDescent="0.3">
      <c r="B21" s="1" t="s">
        <v>65</v>
      </c>
      <c r="C21" s="1">
        <f>AVERAGE(C15:C17)</f>
        <v>168.63333333333335</v>
      </c>
      <c r="D21" s="1">
        <f>AVERAGE(D15:D17)</f>
        <v>2188.0666666666662</v>
      </c>
      <c r="E21" s="1">
        <f>AVERAGE(E15:E17)</f>
        <v>310.23333333333329</v>
      </c>
    </row>
    <row r="23" spans="1:17" x14ac:dyDescent="0.3">
      <c r="E23" s="34"/>
    </row>
    <row r="25" spans="1:17" ht="21" x14ac:dyDescent="0.4">
      <c r="F25" t="s">
        <v>111</v>
      </c>
      <c r="K25" s="73" t="s">
        <v>91</v>
      </c>
      <c r="L25" s="73"/>
    </row>
    <row r="26" spans="1:17" x14ac:dyDescent="0.3">
      <c r="C26" s="67" t="s">
        <v>89</v>
      </c>
      <c r="D26" s="67"/>
      <c r="K26" s="68" t="s">
        <v>120</v>
      </c>
      <c r="L26" s="69"/>
      <c r="M26" s="69"/>
      <c r="N26" s="69"/>
      <c r="O26" s="69"/>
      <c r="P26" s="69"/>
      <c r="Q26" s="69"/>
    </row>
    <row r="27" spans="1:17" x14ac:dyDescent="0.3">
      <c r="C27" s="39"/>
      <c r="D27" s="39"/>
      <c r="K27" s="69"/>
      <c r="L27" s="69"/>
      <c r="M27" s="69"/>
      <c r="N27" s="69"/>
      <c r="O27" s="69"/>
      <c r="P27" s="69"/>
      <c r="Q27" s="69"/>
    </row>
    <row r="28" spans="1:17" x14ac:dyDescent="0.3">
      <c r="A28" s="5" t="s">
        <v>1</v>
      </c>
      <c r="B28" s="8" t="s">
        <v>2</v>
      </c>
      <c r="C28" s="36" t="s">
        <v>61</v>
      </c>
      <c r="D28" s="36" t="s">
        <v>51</v>
      </c>
      <c r="E28" s="25" t="s">
        <v>62</v>
      </c>
      <c r="H28" s="2" t="s">
        <v>84</v>
      </c>
      <c r="K28" s="69"/>
      <c r="L28" s="69"/>
      <c r="M28" s="69"/>
      <c r="N28" s="69"/>
      <c r="O28" s="69"/>
      <c r="P28" s="69"/>
      <c r="Q28" s="69"/>
    </row>
    <row r="29" spans="1:17" x14ac:dyDescent="0.3">
      <c r="A29" s="1">
        <v>2017</v>
      </c>
      <c r="B29" s="1" t="s">
        <v>60</v>
      </c>
      <c r="C29" s="40">
        <v>130.6</v>
      </c>
      <c r="D29" s="40">
        <v>1728.5000000000002</v>
      </c>
      <c r="E29" s="7">
        <v>253.89999999999998</v>
      </c>
      <c r="K29" s="69"/>
      <c r="L29" s="69"/>
      <c r="M29" s="69"/>
      <c r="N29" s="69"/>
      <c r="O29" s="69"/>
      <c r="P29" s="69"/>
      <c r="Q29" s="69"/>
    </row>
    <row r="30" spans="1:17" x14ac:dyDescent="0.3">
      <c r="A30" s="1">
        <v>2018</v>
      </c>
      <c r="B30" s="1" t="s">
        <v>60</v>
      </c>
      <c r="C30" s="7">
        <v>136.69999999999999</v>
      </c>
      <c r="D30" s="7">
        <v>1781.9999999999998</v>
      </c>
      <c r="E30" s="7">
        <v>264.5</v>
      </c>
      <c r="G30" s="36" t="s">
        <v>61</v>
      </c>
      <c r="H30" s="36" t="s">
        <v>51</v>
      </c>
      <c r="I30" s="36" t="s">
        <v>62</v>
      </c>
      <c r="K30" s="69"/>
      <c r="L30" s="69"/>
      <c r="M30" s="69"/>
      <c r="N30" s="69"/>
      <c r="O30" s="69"/>
      <c r="P30" s="69"/>
      <c r="Q30" s="69"/>
    </row>
    <row r="31" spans="1:17" x14ac:dyDescent="0.3">
      <c r="A31" s="1">
        <v>2019</v>
      </c>
      <c r="B31" s="1" t="s">
        <v>60</v>
      </c>
      <c r="C31" s="7">
        <v>150.4</v>
      </c>
      <c r="D31" s="7">
        <v>1761.2000000000003</v>
      </c>
      <c r="E31" s="7">
        <v>279.89999999999998</v>
      </c>
      <c r="G31" s="35">
        <f>C38-C37</f>
        <v>36.500000000000028</v>
      </c>
      <c r="H31" s="35">
        <f t="shared" ref="H31:I31" si="0">D38-D37</f>
        <v>399.63333333333321</v>
      </c>
      <c r="I31" s="35">
        <f t="shared" si="0"/>
        <v>61.300000000000068</v>
      </c>
    </row>
    <row r="32" spans="1:17" x14ac:dyDescent="0.3">
      <c r="A32" s="1">
        <v>2020</v>
      </c>
      <c r="B32" s="1" t="s">
        <v>60</v>
      </c>
      <c r="C32" s="1">
        <v>156.69999999999999</v>
      </c>
      <c r="D32" s="1">
        <v>1894.5999999999997</v>
      </c>
      <c r="E32" s="1">
        <v>287.3</v>
      </c>
    </row>
    <row r="33" spans="1:14" x14ac:dyDescent="0.3">
      <c r="A33" s="1">
        <v>2021</v>
      </c>
      <c r="B33" s="1" t="s">
        <v>60</v>
      </c>
      <c r="C33" s="7">
        <v>164.6</v>
      </c>
      <c r="D33" s="7">
        <v>2025.7</v>
      </c>
      <c r="E33" s="7">
        <v>306.10000000000002</v>
      </c>
    </row>
    <row r="34" spans="1:14" x14ac:dyDescent="0.3">
      <c r="A34" s="1">
        <v>2022</v>
      </c>
      <c r="B34" s="1" t="s">
        <v>60</v>
      </c>
      <c r="C34" s="7">
        <v>176</v>
      </c>
      <c r="D34" s="7">
        <v>2179.1000000000004</v>
      </c>
      <c r="E34" s="7">
        <v>328.5</v>
      </c>
    </row>
    <row r="35" spans="1:14" x14ac:dyDescent="0.3">
      <c r="A35" s="1">
        <v>2023</v>
      </c>
      <c r="B35" s="1" t="s">
        <v>60</v>
      </c>
      <c r="C35" s="7">
        <v>186.6</v>
      </c>
      <c r="D35" s="7">
        <v>2265.8000000000002</v>
      </c>
      <c r="E35" s="7">
        <v>347.6</v>
      </c>
    </row>
    <row r="37" spans="1:14" x14ac:dyDescent="0.3">
      <c r="B37" s="35" t="s">
        <v>64</v>
      </c>
      <c r="C37" s="35">
        <f>AVERAGE(C29:C31)</f>
        <v>139.23333333333332</v>
      </c>
      <c r="D37" s="35">
        <f>AVERAGE(D29:D31)</f>
        <v>1757.2333333333336</v>
      </c>
      <c r="E37" s="35">
        <f t="shared" ref="E37" si="1">AVERAGE(E29:E31)</f>
        <v>266.09999999999997</v>
      </c>
    </row>
    <row r="38" spans="1:14" x14ac:dyDescent="0.3">
      <c r="B38" s="35" t="s">
        <v>65</v>
      </c>
      <c r="C38" s="35">
        <f>AVERAGE(C33:C35)</f>
        <v>175.73333333333335</v>
      </c>
      <c r="D38" s="35">
        <f>AVERAGE(D33:D35)</f>
        <v>2156.8666666666668</v>
      </c>
      <c r="E38" s="35">
        <f t="shared" ref="E38" si="2">AVERAGE(E33:E35)</f>
        <v>327.40000000000003</v>
      </c>
    </row>
    <row r="41" spans="1:14" x14ac:dyDescent="0.3">
      <c r="C41" s="2" t="s">
        <v>90</v>
      </c>
      <c r="D41" s="2"/>
    </row>
    <row r="43" spans="1:14" x14ac:dyDescent="0.3">
      <c r="A43" s="5" t="s">
        <v>1</v>
      </c>
      <c r="B43" s="5" t="s">
        <v>2</v>
      </c>
      <c r="C43" s="5" t="s">
        <v>61</v>
      </c>
      <c r="D43" s="5" t="s">
        <v>51</v>
      </c>
      <c r="E43" s="5" t="s">
        <v>62</v>
      </c>
      <c r="H43" s="2" t="s">
        <v>85</v>
      </c>
    </row>
    <row r="44" spans="1:14" x14ac:dyDescent="0.3">
      <c r="A44" s="1">
        <v>2017</v>
      </c>
      <c r="B44" s="1" t="s">
        <v>60</v>
      </c>
      <c r="C44" s="7">
        <v>127.8</v>
      </c>
      <c r="D44" s="7">
        <v>1718.9</v>
      </c>
      <c r="E44" s="7">
        <v>247.7</v>
      </c>
    </row>
    <row r="45" spans="1:14" x14ac:dyDescent="0.3">
      <c r="A45" s="1">
        <v>2018</v>
      </c>
      <c r="B45" s="1" t="s">
        <v>60</v>
      </c>
      <c r="C45" s="7">
        <v>134.30000000000001</v>
      </c>
      <c r="D45" s="7">
        <v>1756</v>
      </c>
      <c r="E45" s="7">
        <v>256.60000000000002</v>
      </c>
      <c r="G45" s="5" t="s">
        <v>61</v>
      </c>
      <c r="H45" s="5" t="s">
        <v>51</v>
      </c>
      <c r="I45" s="5" t="s">
        <v>62</v>
      </c>
    </row>
    <row r="46" spans="1:14" x14ac:dyDescent="0.3">
      <c r="A46" s="1">
        <v>2019</v>
      </c>
      <c r="B46" s="1" t="s">
        <v>60</v>
      </c>
      <c r="C46" s="7">
        <v>146.19999999999999</v>
      </c>
      <c r="D46" s="7">
        <v>1762.9</v>
      </c>
      <c r="E46" s="7">
        <v>268.39999999999998</v>
      </c>
      <c r="G46" s="1">
        <f>C53-C52</f>
        <v>36.933333333333337</v>
      </c>
      <c r="H46" s="1">
        <f t="shared" ref="H46" si="3">D53-D52</f>
        <v>421.66666666666652</v>
      </c>
      <c r="I46" s="1">
        <f>E53-E52</f>
        <v>61.266666666666652</v>
      </c>
    </row>
    <row r="47" spans="1:14" x14ac:dyDescent="0.3">
      <c r="A47" s="1">
        <v>2020</v>
      </c>
      <c r="B47" s="1" t="s">
        <v>60</v>
      </c>
      <c r="C47" s="1">
        <v>152.30000000000001</v>
      </c>
      <c r="D47" s="1">
        <v>1895.4</v>
      </c>
      <c r="E47" s="1">
        <v>276.3</v>
      </c>
    </row>
    <row r="48" spans="1:14" ht="14.4" customHeight="1" x14ac:dyDescent="0.3">
      <c r="A48" s="1">
        <v>2021</v>
      </c>
      <c r="B48" s="1" t="s">
        <v>60</v>
      </c>
      <c r="C48" s="7">
        <v>161.69999999999999</v>
      </c>
      <c r="D48" s="7">
        <v>2039.3999999999999</v>
      </c>
      <c r="E48" s="7">
        <v>297.39999999999998</v>
      </c>
      <c r="H48" s="46"/>
      <c r="I48" s="47"/>
      <c r="J48" s="47"/>
      <c r="K48" s="47"/>
      <c r="L48" s="47"/>
      <c r="M48" s="47"/>
      <c r="N48" s="47"/>
    </row>
    <row r="49" spans="1:14" ht="14.4" customHeight="1" x14ac:dyDescent="0.3">
      <c r="A49" s="1">
        <v>2022</v>
      </c>
      <c r="B49" s="1" t="s">
        <v>60</v>
      </c>
      <c r="C49" s="7">
        <v>173</v>
      </c>
      <c r="D49" s="7">
        <v>2184.2000000000003</v>
      </c>
      <c r="E49" s="7">
        <v>320.70000000000005</v>
      </c>
      <c r="H49" s="47"/>
      <c r="I49" s="47"/>
      <c r="J49" s="47"/>
      <c r="K49" s="47"/>
      <c r="L49" s="47"/>
      <c r="M49" s="47"/>
      <c r="N49" s="47"/>
    </row>
    <row r="50" spans="1:14" ht="14.4" customHeight="1" x14ac:dyDescent="0.3">
      <c r="A50" s="1">
        <v>2023</v>
      </c>
      <c r="B50" s="1" t="s">
        <v>60</v>
      </c>
      <c r="C50" s="7">
        <v>184.4</v>
      </c>
      <c r="D50" s="7">
        <v>2279.1999999999998</v>
      </c>
      <c r="E50" s="7">
        <v>338.4</v>
      </c>
      <c r="H50" s="47"/>
      <c r="I50" s="47"/>
      <c r="J50" s="47"/>
      <c r="K50" s="47"/>
      <c r="L50" s="47"/>
      <c r="M50" s="47"/>
      <c r="N50" s="47"/>
    </row>
    <row r="51" spans="1:14" ht="14.4" customHeight="1" x14ac:dyDescent="0.3">
      <c r="H51" s="47"/>
      <c r="I51" s="47"/>
      <c r="J51" s="47"/>
      <c r="K51" s="47"/>
      <c r="L51" s="47"/>
      <c r="M51" s="47"/>
      <c r="N51" s="47"/>
    </row>
    <row r="52" spans="1:14" ht="14.4" customHeight="1" x14ac:dyDescent="0.3">
      <c r="B52" s="35" t="s">
        <v>128</v>
      </c>
      <c r="C52" s="35">
        <f>AVERAGE(C44:C46)</f>
        <v>136.1</v>
      </c>
      <c r="D52" s="35">
        <f>AVERAGE(D44:D46)</f>
        <v>1745.9333333333334</v>
      </c>
      <c r="E52" s="35">
        <f t="shared" ref="E52" si="4">AVERAGE(E44:E46)</f>
        <v>257.56666666666666</v>
      </c>
      <c r="H52" s="47"/>
      <c r="I52" s="47"/>
      <c r="J52" s="47"/>
      <c r="K52" s="47"/>
      <c r="L52" s="47"/>
      <c r="M52" s="47"/>
      <c r="N52" s="47"/>
    </row>
    <row r="53" spans="1:14" ht="14.4" customHeight="1" x14ac:dyDescent="0.3">
      <c r="B53" s="35" t="s">
        <v>129</v>
      </c>
      <c r="C53" s="35">
        <f>AVERAGE(C48:C50)</f>
        <v>173.03333333333333</v>
      </c>
      <c r="D53" s="35">
        <f>AVERAGE(D48:D50)</f>
        <v>2167.6</v>
      </c>
      <c r="E53" s="35">
        <f t="shared" ref="E53" si="5">AVERAGE(E48:E50)</f>
        <v>318.83333333333331</v>
      </c>
      <c r="H53" s="47"/>
      <c r="I53" s="47"/>
      <c r="J53" s="47"/>
      <c r="K53" s="47"/>
      <c r="L53" s="47"/>
      <c r="M53" s="47"/>
      <c r="N53" s="47"/>
    </row>
    <row r="54" spans="1:14" ht="14.4" customHeight="1" x14ac:dyDescent="0.3">
      <c r="H54" s="47"/>
      <c r="I54" s="47"/>
      <c r="J54" s="47"/>
      <c r="K54" s="47"/>
      <c r="L54" s="47"/>
      <c r="M54" s="47"/>
      <c r="N54" s="47"/>
    </row>
  </sheetData>
  <mergeCells count="8">
    <mergeCell ref="C26:D26"/>
    <mergeCell ref="K26:Q30"/>
    <mergeCell ref="K25:L25"/>
    <mergeCell ref="A2:L2"/>
    <mergeCell ref="H8:I8"/>
    <mergeCell ref="B6:D6"/>
    <mergeCell ref="B4:D4"/>
    <mergeCell ref="C8:D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F249-A05A-4D6E-BE4F-6F139A3D8A1C}">
  <dimension ref="A2:AP104"/>
  <sheetViews>
    <sheetView topLeftCell="R13" zoomScale="80" zoomScaleNormal="130" workbookViewId="0">
      <selection activeCell="AK14" sqref="AK14:AP18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29.21875" bestFit="1" customWidth="1"/>
    <col min="5" max="6" width="12" bestFit="1" customWidth="1"/>
    <col min="8" max="8" width="11.21875" bestFit="1" customWidth="1"/>
    <col min="9" max="9" width="5" bestFit="1" customWidth="1"/>
    <col min="10" max="10" width="9.77734375" bestFit="1" customWidth="1"/>
    <col min="11" max="11" width="29.21875" bestFit="1" customWidth="1"/>
    <col min="12" max="13" width="12" bestFit="1" customWidth="1"/>
  </cols>
  <sheetData>
    <row r="2" spans="1:42" ht="14.4" customHeight="1" x14ac:dyDescent="0.3">
      <c r="A2" s="76" t="s">
        <v>92</v>
      </c>
      <c r="B2" s="76"/>
      <c r="C2" s="76"/>
      <c r="D2" s="76"/>
      <c r="E2" s="76"/>
      <c r="F2" s="76"/>
    </row>
    <row r="3" spans="1:42" ht="14.4" customHeight="1" x14ac:dyDescent="0.3">
      <c r="A3" s="76"/>
      <c r="B3" s="76"/>
      <c r="C3" s="76"/>
      <c r="D3" s="76"/>
      <c r="E3" s="76"/>
      <c r="F3" s="76"/>
    </row>
    <row r="4" spans="1:42" ht="14.4" customHeight="1" x14ac:dyDescent="0.35">
      <c r="A4" s="41"/>
      <c r="B4" s="41"/>
      <c r="C4" s="41"/>
      <c r="D4" s="41"/>
      <c r="E4" s="41"/>
      <c r="F4" s="41"/>
    </row>
    <row r="5" spans="1:42" x14ac:dyDescent="0.3">
      <c r="A5" s="75" t="s">
        <v>96</v>
      </c>
      <c r="B5" s="75"/>
      <c r="C5" s="75"/>
      <c r="D5" s="75"/>
    </row>
    <row r="7" spans="1:42" x14ac:dyDescent="0.3">
      <c r="A7" s="5" t="s">
        <v>0</v>
      </c>
      <c r="B7" s="5" t="s">
        <v>1</v>
      </c>
      <c r="C7" s="5" t="s">
        <v>2</v>
      </c>
      <c r="D7" s="5" t="s">
        <v>95</v>
      </c>
      <c r="E7" s="5" t="s">
        <v>66</v>
      </c>
      <c r="F7" s="43" t="s">
        <v>97</v>
      </c>
      <c r="H7" s="10" t="s">
        <v>0</v>
      </c>
      <c r="I7" s="10" t="s">
        <v>1</v>
      </c>
      <c r="J7" s="10" t="s">
        <v>2</v>
      </c>
      <c r="K7" s="10" t="s">
        <v>21</v>
      </c>
      <c r="L7" s="10" t="s">
        <v>66</v>
      </c>
      <c r="M7" s="2" t="s">
        <v>97</v>
      </c>
      <c r="P7" s="10" t="s">
        <v>0</v>
      </c>
      <c r="Q7" s="10" t="s">
        <v>1</v>
      </c>
      <c r="R7" s="10" t="s">
        <v>2</v>
      </c>
      <c r="S7" s="5" t="s">
        <v>20</v>
      </c>
      <c r="T7" s="10" t="s">
        <v>66</v>
      </c>
      <c r="U7" s="2" t="s">
        <v>97</v>
      </c>
      <c r="X7" s="10" t="s">
        <v>0</v>
      </c>
      <c r="Y7" s="10" t="s">
        <v>1</v>
      </c>
      <c r="Z7" s="10" t="s">
        <v>2</v>
      </c>
      <c r="AA7" s="5" t="s">
        <v>17</v>
      </c>
      <c r="AB7" s="10" t="s">
        <v>66</v>
      </c>
      <c r="AC7" s="2" t="s">
        <v>97</v>
      </c>
      <c r="AE7" s="10" t="s">
        <v>127</v>
      </c>
      <c r="AF7" s="10" t="s">
        <v>1</v>
      </c>
      <c r="AG7" s="10" t="s">
        <v>2</v>
      </c>
      <c r="AH7" s="5" t="s">
        <v>24</v>
      </c>
      <c r="AI7" s="10" t="s">
        <v>66</v>
      </c>
      <c r="AJ7" s="2" t="s">
        <v>97</v>
      </c>
    </row>
    <row r="8" spans="1:42" x14ac:dyDescent="0.3">
      <c r="A8" s="1" t="s">
        <v>34</v>
      </c>
      <c r="B8" s="1">
        <v>2021</v>
      </c>
      <c r="C8" s="1" t="s">
        <v>31</v>
      </c>
      <c r="D8" s="1">
        <v>2076.5</v>
      </c>
      <c r="E8" s="1">
        <v>54.794569624999994</v>
      </c>
      <c r="F8" s="44">
        <f>CORREL(D8:D36,E8:E36)</f>
        <v>0.5842048521667621</v>
      </c>
      <c r="H8" s="11" t="s">
        <v>34</v>
      </c>
      <c r="I8" s="11">
        <v>2021</v>
      </c>
      <c r="J8" s="11" t="s">
        <v>31</v>
      </c>
      <c r="K8" s="11">
        <v>147.9</v>
      </c>
      <c r="L8" s="11">
        <v>54.794569624999994</v>
      </c>
      <c r="M8" s="42">
        <f>CORREL(K8:K36,L8:L36)</f>
        <v>0.57024198204858501</v>
      </c>
      <c r="P8" s="11" t="s">
        <v>34</v>
      </c>
      <c r="Q8" s="11">
        <v>2021</v>
      </c>
      <c r="R8" s="11" t="s">
        <v>31</v>
      </c>
      <c r="S8" s="1">
        <v>157.69999999999999</v>
      </c>
      <c r="T8" s="11">
        <v>54.794569624999994</v>
      </c>
      <c r="U8" s="42">
        <f>CORREL(S8:S36,T8:T36)</f>
        <v>0.42782962698080979</v>
      </c>
      <c r="X8" s="11" t="s">
        <v>34</v>
      </c>
      <c r="Y8" s="11">
        <v>2021</v>
      </c>
      <c r="Z8" s="11" t="s">
        <v>31</v>
      </c>
      <c r="AA8" s="1">
        <v>155.5</v>
      </c>
      <c r="AB8" s="11">
        <v>54.794569624999994</v>
      </c>
      <c r="AC8" s="42">
        <f>CORREL(AA8:AA36,AB8:AB36)</f>
        <v>0.51957668279106495</v>
      </c>
      <c r="AE8" s="11" t="s">
        <v>34</v>
      </c>
      <c r="AF8" s="11">
        <v>2021</v>
      </c>
      <c r="AG8" s="11" t="s">
        <v>31</v>
      </c>
      <c r="AH8" s="1">
        <v>141.9</v>
      </c>
      <c r="AI8" s="11">
        <v>54.794569624999994</v>
      </c>
      <c r="AJ8" s="42">
        <f>CORREL(AH8:AH36,AI8:AI36)</f>
        <v>0.66761514141704836</v>
      </c>
    </row>
    <row r="9" spans="1:42" x14ac:dyDescent="0.3">
      <c r="A9" s="1" t="s">
        <v>34</v>
      </c>
      <c r="B9" s="1">
        <v>2021</v>
      </c>
      <c r="C9" s="1" t="s">
        <v>35</v>
      </c>
      <c r="D9" s="1">
        <v>2039.3000000000002</v>
      </c>
      <c r="E9" s="1">
        <v>61.216117289473672</v>
      </c>
      <c r="H9" s="11" t="s">
        <v>34</v>
      </c>
      <c r="I9" s="11">
        <v>2021</v>
      </c>
      <c r="J9" s="11" t="s">
        <v>35</v>
      </c>
      <c r="K9" s="11">
        <v>152.4</v>
      </c>
      <c r="L9" s="11">
        <v>61.216117289473672</v>
      </c>
      <c r="P9" s="11" t="s">
        <v>34</v>
      </c>
      <c r="Q9" s="11">
        <v>2021</v>
      </c>
      <c r="R9" s="11" t="s">
        <v>35</v>
      </c>
      <c r="S9" s="1">
        <v>159.80000000000001</v>
      </c>
      <c r="T9" s="11">
        <v>61.216117289473672</v>
      </c>
      <c r="X9" s="11" t="s">
        <v>34</v>
      </c>
      <c r="Y9" s="11">
        <v>2021</v>
      </c>
      <c r="Z9" s="11" t="s">
        <v>35</v>
      </c>
      <c r="AA9" s="1">
        <v>157.19999999999999</v>
      </c>
      <c r="AB9" s="11">
        <v>61.216117289473672</v>
      </c>
      <c r="AE9" s="11" t="s">
        <v>34</v>
      </c>
      <c r="AF9" s="11">
        <v>2021</v>
      </c>
      <c r="AG9" s="11" t="s">
        <v>35</v>
      </c>
      <c r="AH9" s="1">
        <v>145.1</v>
      </c>
      <c r="AI9" s="11">
        <v>61.216117289473672</v>
      </c>
    </row>
    <row r="10" spans="1:42" x14ac:dyDescent="0.3">
      <c r="A10" s="1" t="s">
        <v>34</v>
      </c>
      <c r="B10" s="1">
        <v>2021</v>
      </c>
      <c r="C10" s="1" t="s">
        <v>36</v>
      </c>
      <c r="D10" s="1">
        <v>2039.3999999999999</v>
      </c>
      <c r="E10" s="1">
        <v>64.729496782608663</v>
      </c>
      <c r="H10" s="11" t="s">
        <v>34</v>
      </c>
      <c r="I10" s="11">
        <v>2021</v>
      </c>
      <c r="J10" s="11" t="s">
        <v>36</v>
      </c>
      <c r="K10" s="11">
        <v>155.5</v>
      </c>
      <c r="L10" s="11">
        <v>64.729496782608663</v>
      </c>
      <c r="P10" s="11" t="s">
        <v>34</v>
      </c>
      <c r="Q10" s="11">
        <v>2021</v>
      </c>
      <c r="R10" s="11" t="s">
        <v>36</v>
      </c>
      <c r="S10" s="1">
        <v>159.9</v>
      </c>
      <c r="T10" s="11">
        <v>64.729496782608663</v>
      </c>
      <c r="X10" s="11" t="s">
        <v>34</v>
      </c>
      <c r="Y10" s="11">
        <v>2021</v>
      </c>
      <c r="Z10" s="11" t="s">
        <v>36</v>
      </c>
      <c r="AA10" s="1">
        <v>157.80000000000001</v>
      </c>
      <c r="AB10" s="11">
        <v>64.729496782608663</v>
      </c>
      <c r="AE10" s="11" t="s">
        <v>34</v>
      </c>
      <c r="AF10" s="11">
        <v>2021</v>
      </c>
      <c r="AG10" s="11" t="s">
        <v>36</v>
      </c>
      <c r="AH10" s="1">
        <v>146.19999999999999</v>
      </c>
      <c r="AI10" s="11">
        <v>64.729496782608663</v>
      </c>
    </row>
    <row r="11" spans="1:42" x14ac:dyDescent="0.3">
      <c r="A11" s="1" t="s">
        <v>34</v>
      </c>
      <c r="B11" s="1">
        <v>2021</v>
      </c>
      <c r="C11" s="1" t="s">
        <v>37</v>
      </c>
      <c r="D11" s="1">
        <v>2064.1</v>
      </c>
      <c r="E11" s="1">
        <v>63.396976500000008</v>
      </c>
      <c r="H11" s="11" t="s">
        <v>34</v>
      </c>
      <c r="I11" s="11">
        <v>2021</v>
      </c>
      <c r="J11" s="11" t="s">
        <v>37</v>
      </c>
      <c r="K11" s="11">
        <v>155.6</v>
      </c>
      <c r="L11" s="11">
        <v>63.396976500000008</v>
      </c>
      <c r="P11" s="11" t="s">
        <v>34</v>
      </c>
      <c r="Q11" s="11">
        <v>2021</v>
      </c>
      <c r="R11" s="11" t="s">
        <v>37</v>
      </c>
      <c r="S11" s="1">
        <v>161.4</v>
      </c>
      <c r="T11" s="11">
        <v>63.396976500000008</v>
      </c>
      <c r="X11" s="11" t="s">
        <v>34</v>
      </c>
      <c r="Y11" s="11">
        <v>2021</v>
      </c>
      <c r="Z11" s="11" t="s">
        <v>37</v>
      </c>
      <c r="AA11" s="1">
        <v>158.80000000000001</v>
      </c>
      <c r="AB11" s="11">
        <v>63.396976500000008</v>
      </c>
      <c r="AE11" s="11" t="s">
        <v>34</v>
      </c>
      <c r="AF11" s="11">
        <v>2021</v>
      </c>
      <c r="AG11" s="11" t="s">
        <v>37</v>
      </c>
      <c r="AH11" s="1">
        <v>146.6</v>
      </c>
      <c r="AI11" s="11">
        <v>63.396976500000008</v>
      </c>
    </row>
    <row r="12" spans="1:42" ht="14.4" customHeight="1" x14ac:dyDescent="0.3">
      <c r="A12" s="1" t="s">
        <v>34</v>
      </c>
      <c r="B12" s="1">
        <v>2021</v>
      </c>
      <c r="C12" s="1" t="s">
        <v>38</v>
      </c>
      <c r="D12" s="1">
        <v>2105.7000000000003</v>
      </c>
      <c r="E12" s="1">
        <v>66.953084852941174</v>
      </c>
      <c r="H12" s="11" t="s">
        <v>34</v>
      </c>
      <c r="I12" s="11">
        <v>2021</v>
      </c>
      <c r="J12" s="11" t="s">
        <v>38</v>
      </c>
      <c r="K12" s="11">
        <v>159.4</v>
      </c>
      <c r="L12" s="11">
        <v>66.953084852941174</v>
      </c>
      <c r="P12" s="11" t="s">
        <v>34</v>
      </c>
      <c r="Q12" s="11">
        <v>2021</v>
      </c>
      <c r="R12" s="11" t="s">
        <v>38</v>
      </c>
      <c r="S12" s="1">
        <v>161.6</v>
      </c>
      <c r="T12" s="11">
        <v>66.953084852941174</v>
      </c>
      <c r="X12" s="11" t="s">
        <v>34</v>
      </c>
      <c r="Y12" s="11">
        <v>2021</v>
      </c>
      <c r="Z12" s="11" t="s">
        <v>38</v>
      </c>
      <c r="AA12" s="1">
        <v>161.80000000000001</v>
      </c>
      <c r="AB12" s="11">
        <v>66.953084852941174</v>
      </c>
      <c r="AE12" s="11" t="s">
        <v>34</v>
      </c>
      <c r="AF12" s="11">
        <v>2021</v>
      </c>
      <c r="AG12" s="11" t="s">
        <v>38</v>
      </c>
      <c r="AH12" s="1">
        <v>148.9</v>
      </c>
      <c r="AI12" s="11">
        <v>66.953084852941174</v>
      </c>
    </row>
    <row r="13" spans="1:42" ht="15.6" x14ac:dyDescent="0.3">
      <c r="A13" s="1" t="s">
        <v>34</v>
      </c>
      <c r="B13" s="1">
        <v>2021</v>
      </c>
      <c r="C13" s="1" t="s">
        <v>39</v>
      </c>
      <c r="D13" s="1">
        <v>2133.9</v>
      </c>
      <c r="E13" s="1">
        <v>71.982647477272721</v>
      </c>
      <c r="H13" s="11" t="s">
        <v>34</v>
      </c>
      <c r="I13" s="11">
        <v>2021</v>
      </c>
      <c r="J13" s="11" t="s">
        <v>39</v>
      </c>
      <c r="K13" s="11">
        <v>159.80000000000001</v>
      </c>
      <c r="L13" s="11">
        <v>71.982647477272721</v>
      </c>
      <c r="P13" s="11" t="s">
        <v>34</v>
      </c>
      <c r="Q13" s="11">
        <v>2021</v>
      </c>
      <c r="R13" s="11" t="s">
        <v>39</v>
      </c>
      <c r="S13" s="1">
        <v>160.5</v>
      </c>
      <c r="T13" s="11">
        <v>71.982647477272721</v>
      </c>
      <c r="X13" s="11" t="s">
        <v>34</v>
      </c>
      <c r="Y13" s="11">
        <v>2021</v>
      </c>
      <c r="Z13" s="11" t="s">
        <v>39</v>
      </c>
      <c r="AA13" s="1">
        <v>162.19999999999999</v>
      </c>
      <c r="AB13" s="11">
        <v>71.982647477272721</v>
      </c>
      <c r="AE13" s="11" t="s">
        <v>34</v>
      </c>
      <c r="AF13" s="11">
        <v>2021</v>
      </c>
      <c r="AG13" s="11" t="s">
        <v>39</v>
      </c>
      <c r="AH13" s="1">
        <v>150.69999999999999</v>
      </c>
      <c r="AI13" s="11">
        <v>71.982647477272721</v>
      </c>
      <c r="AK13" s="65" t="s">
        <v>91</v>
      </c>
      <c r="AL13" s="65"/>
    </row>
    <row r="14" spans="1:42" ht="14.4" customHeight="1" x14ac:dyDescent="0.3">
      <c r="A14" s="1" t="s">
        <v>34</v>
      </c>
      <c r="B14" s="1">
        <v>2021</v>
      </c>
      <c r="C14" s="1" t="s">
        <v>40</v>
      </c>
      <c r="D14" s="1">
        <v>2147</v>
      </c>
      <c r="E14" s="1">
        <v>73.539060523809511</v>
      </c>
      <c r="H14" s="11" t="s">
        <v>34</v>
      </c>
      <c r="I14" s="11">
        <v>2021</v>
      </c>
      <c r="J14" s="11" t="s">
        <v>40</v>
      </c>
      <c r="K14" s="11">
        <v>160.69999999999999</v>
      </c>
      <c r="L14" s="11">
        <v>73.539060523809511</v>
      </c>
      <c r="P14" s="11" t="s">
        <v>34</v>
      </c>
      <c r="Q14" s="11">
        <v>2021</v>
      </c>
      <c r="R14" s="11" t="s">
        <v>40</v>
      </c>
      <c r="S14" s="1">
        <v>161.5</v>
      </c>
      <c r="T14" s="11">
        <v>73.539060523809511</v>
      </c>
      <c r="X14" s="11" t="s">
        <v>34</v>
      </c>
      <c r="Y14" s="11">
        <v>2021</v>
      </c>
      <c r="Z14" s="11" t="s">
        <v>40</v>
      </c>
      <c r="AA14" s="1">
        <v>162.80000000000001</v>
      </c>
      <c r="AB14" s="11">
        <v>73.539060523809511</v>
      </c>
      <c r="AE14" s="11" t="s">
        <v>34</v>
      </c>
      <c r="AF14" s="11">
        <v>2021</v>
      </c>
      <c r="AG14" s="11" t="s">
        <v>40</v>
      </c>
      <c r="AH14" s="1">
        <v>153.1</v>
      </c>
      <c r="AI14" s="11">
        <v>73.539060523809511</v>
      </c>
      <c r="AK14" s="68" t="s">
        <v>98</v>
      </c>
      <c r="AL14" s="68"/>
      <c r="AM14" s="68"/>
      <c r="AN14" s="68"/>
      <c r="AO14" s="68"/>
      <c r="AP14" s="68"/>
    </row>
    <row r="15" spans="1:42" x14ac:dyDescent="0.3">
      <c r="A15" s="1" t="s">
        <v>34</v>
      </c>
      <c r="B15" s="1">
        <v>2021</v>
      </c>
      <c r="C15" s="1" t="s">
        <v>41</v>
      </c>
      <c r="D15" s="1">
        <v>2142</v>
      </c>
      <c r="E15" s="1">
        <v>69.804724424999989</v>
      </c>
      <c r="H15" s="11" t="s">
        <v>34</v>
      </c>
      <c r="I15" s="11">
        <v>2021</v>
      </c>
      <c r="J15" s="11" t="s">
        <v>41</v>
      </c>
      <c r="K15" s="11">
        <v>162.6</v>
      </c>
      <c r="L15" s="11">
        <v>69.804724424999989</v>
      </c>
      <c r="P15" s="11" t="s">
        <v>34</v>
      </c>
      <c r="Q15" s="11">
        <v>2021</v>
      </c>
      <c r="R15" s="11" t="s">
        <v>41</v>
      </c>
      <c r="S15" s="1">
        <v>162.1</v>
      </c>
      <c r="T15" s="11">
        <v>69.804724424999989</v>
      </c>
      <c r="X15" s="11" t="s">
        <v>34</v>
      </c>
      <c r="Y15" s="11">
        <v>2021</v>
      </c>
      <c r="Z15" s="11" t="s">
        <v>41</v>
      </c>
      <c r="AA15" s="1">
        <v>164.5</v>
      </c>
      <c r="AB15" s="11">
        <v>69.804724424999989</v>
      </c>
      <c r="AE15" s="11" t="s">
        <v>34</v>
      </c>
      <c r="AF15" s="11">
        <v>2021</v>
      </c>
      <c r="AG15" s="11" t="s">
        <v>41</v>
      </c>
      <c r="AH15" s="1">
        <v>154</v>
      </c>
      <c r="AI15" s="11">
        <v>69.804724424999989</v>
      </c>
      <c r="AJ15" s="45"/>
      <c r="AK15" s="68"/>
      <c r="AL15" s="68"/>
      <c r="AM15" s="68"/>
      <c r="AN15" s="68"/>
      <c r="AO15" s="68"/>
      <c r="AP15" s="68"/>
    </row>
    <row r="16" spans="1:42" x14ac:dyDescent="0.3">
      <c r="A16" s="1" t="s">
        <v>34</v>
      </c>
      <c r="B16" s="1">
        <v>2021</v>
      </c>
      <c r="C16" s="1" t="s">
        <v>42</v>
      </c>
      <c r="D16" s="1">
        <v>2142</v>
      </c>
      <c r="E16" s="1">
        <v>73.130738295454549</v>
      </c>
      <c r="H16" s="11" t="s">
        <v>34</v>
      </c>
      <c r="I16" s="11">
        <v>2021</v>
      </c>
      <c r="J16" s="11" t="s">
        <v>42</v>
      </c>
      <c r="K16" s="11">
        <v>162.6</v>
      </c>
      <c r="L16" s="11">
        <v>73.130738295454549</v>
      </c>
      <c r="P16" s="11" t="s">
        <v>34</v>
      </c>
      <c r="Q16" s="11">
        <v>2021</v>
      </c>
      <c r="R16" s="11" t="s">
        <v>42</v>
      </c>
      <c r="S16" s="1">
        <v>162.1</v>
      </c>
      <c r="T16" s="11">
        <v>73.130738295454549</v>
      </c>
      <c r="X16" s="11" t="s">
        <v>34</v>
      </c>
      <c r="Y16" s="11">
        <v>2021</v>
      </c>
      <c r="Z16" s="11" t="s">
        <v>42</v>
      </c>
      <c r="AA16" s="1">
        <v>164.6</v>
      </c>
      <c r="AB16" s="11">
        <v>73.130738295454549</v>
      </c>
      <c r="AE16" s="11" t="s">
        <v>34</v>
      </c>
      <c r="AF16" s="11">
        <v>2021</v>
      </c>
      <c r="AG16" s="11" t="s">
        <v>42</v>
      </c>
      <c r="AH16" s="1">
        <v>154</v>
      </c>
      <c r="AI16" s="11">
        <v>73.130738295454549</v>
      </c>
      <c r="AJ16" s="45"/>
      <c r="AK16" s="68"/>
      <c r="AL16" s="68"/>
      <c r="AM16" s="68"/>
      <c r="AN16" s="68"/>
      <c r="AO16" s="68"/>
      <c r="AP16" s="68"/>
    </row>
    <row r="17" spans="1:42" x14ac:dyDescent="0.3">
      <c r="A17" s="1" t="s">
        <v>34</v>
      </c>
      <c r="B17" s="1">
        <v>2021</v>
      </c>
      <c r="C17" s="1" t="s">
        <v>43</v>
      </c>
      <c r="D17" s="1">
        <v>2175.5</v>
      </c>
      <c r="E17" s="1">
        <v>82.107393785714294</v>
      </c>
      <c r="H17" s="11" t="s">
        <v>34</v>
      </c>
      <c r="I17" s="11">
        <v>2021</v>
      </c>
      <c r="J17" s="11" t="s">
        <v>43</v>
      </c>
      <c r="K17" s="11">
        <v>164.2</v>
      </c>
      <c r="L17" s="11">
        <v>82.107393785714294</v>
      </c>
      <c r="P17" s="11" t="s">
        <v>34</v>
      </c>
      <c r="Q17" s="11">
        <v>2021</v>
      </c>
      <c r="R17" s="11" t="s">
        <v>43</v>
      </c>
      <c r="S17" s="1">
        <v>163.6</v>
      </c>
      <c r="T17" s="11">
        <v>82.107393785714294</v>
      </c>
      <c r="X17" s="11" t="s">
        <v>34</v>
      </c>
      <c r="Y17" s="11">
        <v>2021</v>
      </c>
      <c r="Z17" s="11" t="s">
        <v>43</v>
      </c>
      <c r="AA17" s="1">
        <v>165.7</v>
      </c>
      <c r="AB17" s="11">
        <v>82.107393785714294</v>
      </c>
      <c r="AE17" s="11" t="s">
        <v>34</v>
      </c>
      <c r="AF17" s="11">
        <v>2021</v>
      </c>
      <c r="AG17" s="11" t="s">
        <v>43</v>
      </c>
      <c r="AH17" s="1">
        <v>155.69999999999999</v>
      </c>
      <c r="AI17" s="11">
        <v>82.107393785714294</v>
      </c>
      <c r="AJ17" s="45"/>
      <c r="AK17" s="68"/>
      <c r="AL17" s="68"/>
      <c r="AM17" s="68"/>
      <c r="AN17" s="68"/>
      <c r="AO17" s="68"/>
      <c r="AP17" s="68"/>
    </row>
    <row r="18" spans="1:42" ht="14.4" customHeight="1" x14ac:dyDescent="0.3">
      <c r="A18" s="1" t="s">
        <v>34</v>
      </c>
      <c r="B18" s="1">
        <v>2021</v>
      </c>
      <c r="C18" s="1" t="s">
        <v>45</v>
      </c>
      <c r="D18" s="1">
        <v>2194.1</v>
      </c>
      <c r="E18" s="1">
        <v>80.637301023809528</v>
      </c>
      <c r="H18" s="11" t="s">
        <v>34</v>
      </c>
      <c r="I18" s="11">
        <v>2021</v>
      </c>
      <c r="J18" s="11" t="s">
        <v>45</v>
      </c>
      <c r="K18" s="11">
        <v>163.9</v>
      </c>
      <c r="L18" s="11">
        <v>80.637301023809528</v>
      </c>
      <c r="P18" s="11" t="s">
        <v>34</v>
      </c>
      <c r="Q18" s="11">
        <v>2021</v>
      </c>
      <c r="R18" s="11" t="s">
        <v>45</v>
      </c>
      <c r="S18" s="1">
        <v>164.2</v>
      </c>
      <c r="T18" s="11">
        <v>80.637301023809528</v>
      </c>
      <c r="X18" s="11" t="s">
        <v>34</v>
      </c>
      <c r="Y18" s="11">
        <v>2021</v>
      </c>
      <c r="Z18" s="11" t="s">
        <v>45</v>
      </c>
      <c r="AA18" s="1">
        <v>167.2</v>
      </c>
      <c r="AB18" s="11">
        <v>80.637301023809528</v>
      </c>
      <c r="AE18" s="11" t="s">
        <v>34</v>
      </c>
      <c r="AF18" s="11">
        <v>2021</v>
      </c>
      <c r="AG18" s="11" t="s">
        <v>45</v>
      </c>
      <c r="AH18" s="1">
        <v>154.80000000000001</v>
      </c>
      <c r="AI18" s="11">
        <v>80.637301023809528</v>
      </c>
      <c r="AJ18" s="45"/>
      <c r="AK18" s="68"/>
      <c r="AL18" s="68"/>
      <c r="AM18" s="68"/>
      <c r="AN18" s="68"/>
      <c r="AO18" s="68"/>
      <c r="AP18" s="68"/>
    </row>
    <row r="19" spans="1:42" x14ac:dyDescent="0.3">
      <c r="A19" s="1" t="s">
        <v>34</v>
      </c>
      <c r="B19" s="1">
        <v>2021</v>
      </c>
      <c r="C19" s="1" t="s">
        <v>46</v>
      </c>
      <c r="D19" s="1">
        <v>2180.9</v>
      </c>
      <c r="E19" s="1">
        <v>73.298823523809531</v>
      </c>
      <c r="H19" s="11" t="s">
        <v>34</v>
      </c>
      <c r="I19" s="11">
        <v>2021</v>
      </c>
      <c r="J19" s="11" t="s">
        <v>46</v>
      </c>
      <c r="K19" s="11">
        <v>164.1</v>
      </c>
      <c r="L19" s="11">
        <v>73.298823523809531</v>
      </c>
      <c r="P19" s="11" t="s">
        <v>34</v>
      </c>
      <c r="Q19" s="11">
        <v>2021</v>
      </c>
      <c r="R19" s="11" t="s">
        <v>46</v>
      </c>
      <c r="S19" s="1">
        <v>163.4</v>
      </c>
      <c r="T19" s="11">
        <v>73.298823523809531</v>
      </c>
      <c r="X19" s="11" t="s">
        <v>34</v>
      </c>
      <c r="Y19" s="11">
        <v>2021</v>
      </c>
      <c r="Z19" s="11" t="s">
        <v>46</v>
      </c>
      <c r="AA19" s="1">
        <v>168.5</v>
      </c>
      <c r="AB19" s="11">
        <v>73.298823523809531</v>
      </c>
      <c r="AE19" s="11" t="s">
        <v>34</v>
      </c>
      <c r="AF19" s="11">
        <v>2021</v>
      </c>
      <c r="AG19" s="11" t="s">
        <v>46</v>
      </c>
      <c r="AH19" s="1">
        <v>155.69999999999999</v>
      </c>
      <c r="AI19" s="11">
        <v>73.298823523809531</v>
      </c>
    </row>
    <row r="20" spans="1:42" x14ac:dyDescent="0.3">
      <c r="A20" s="1" t="s">
        <v>34</v>
      </c>
      <c r="B20" s="1">
        <v>2022</v>
      </c>
      <c r="C20" s="1" t="s">
        <v>31</v>
      </c>
      <c r="D20" s="1">
        <v>2164.1999999999998</v>
      </c>
      <c r="E20" s="1">
        <v>84.666318799999985</v>
      </c>
      <c r="H20" s="11" t="s">
        <v>34</v>
      </c>
      <c r="I20" s="11">
        <v>2022</v>
      </c>
      <c r="J20" s="11" t="s">
        <v>31</v>
      </c>
      <c r="K20" s="11">
        <v>164.2</v>
      </c>
      <c r="L20" s="11">
        <v>84.666318799999985</v>
      </c>
      <c r="P20" s="11" t="s">
        <v>34</v>
      </c>
      <c r="Q20" s="11">
        <v>2022</v>
      </c>
      <c r="R20" s="11" t="s">
        <v>31</v>
      </c>
      <c r="S20" s="1">
        <v>164.5</v>
      </c>
      <c r="T20" s="11">
        <v>84.666318799999985</v>
      </c>
      <c r="X20" s="11" t="s">
        <v>34</v>
      </c>
      <c r="Y20" s="11">
        <v>2022</v>
      </c>
      <c r="Z20" s="11" t="s">
        <v>31</v>
      </c>
      <c r="AA20" s="1">
        <v>169.9</v>
      </c>
      <c r="AB20" s="11">
        <v>84.666318799999985</v>
      </c>
      <c r="AE20" s="11" t="s">
        <v>34</v>
      </c>
      <c r="AF20" s="11">
        <v>2022</v>
      </c>
      <c r="AG20" s="11" t="s">
        <v>31</v>
      </c>
      <c r="AH20" s="1">
        <v>156.5</v>
      </c>
      <c r="AI20" s="11">
        <v>84.666318799999985</v>
      </c>
    </row>
    <row r="21" spans="1:42" x14ac:dyDescent="0.3">
      <c r="A21" s="1" t="s">
        <v>34</v>
      </c>
      <c r="B21" s="1">
        <v>2022</v>
      </c>
      <c r="C21" s="1" t="s">
        <v>35</v>
      </c>
      <c r="D21" s="1">
        <v>2161.2000000000003</v>
      </c>
      <c r="E21" s="1">
        <v>94.067715194444446</v>
      </c>
      <c r="H21" s="11" t="s">
        <v>34</v>
      </c>
      <c r="I21" s="11">
        <v>2022</v>
      </c>
      <c r="J21" s="11" t="s">
        <v>35</v>
      </c>
      <c r="K21" s="11">
        <v>165.7</v>
      </c>
      <c r="L21" s="11">
        <v>94.067715194444446</v>
      </c>
      <c r="P21" s="11" t="s">
        <v>34</v>
      </c>
      <c r="Q21" s="11">
        <v>2022</v>
      </c>
      <c r="R21" s="11" t="s">
        <v>35</v>
      </c>
      <c r="S21" s="1">
        <v>165.5</v>
      </c>
      <c r="T21" s="11">
        <v>94.067715194444446</v>
      </c>
      <c r="X21" s="11" t="s">
        <v>34</v>
      </c>
      <c r="Y21" s="11">
        <v>2022</v>
      </c>
      <c r="Z21" s="11" t="s">
        <v>35</v>
      </c>
      <c r="AA21" s="1">
        <v>170.8</v>
      </c>
      <c r="AB21" s="11">
        <v>94.067715194444446</v>
      </c>
      <c r="AE21" s="11" t="s">
        <v>34</v>
      </c>
      <c r="AF21" s="11">
        <v>2022</v>
      </c>
      <c r="AG21" s="11" t="s">
        <v>35</v>
      </c>
      <c r="AH21" s="1">
        <v>156.9</v>
      </c>
      <c r="AI21" s="11">
        <v>94.067715194444446</v>
      </c>
    </row>
    <row r="22" spans="1:42" x14ac:dyDescent="0.3">
      <c r="A22" s="1" t="s">
        <v>34</v>
      </c>
      <c r="B22" s="1">
        <v>2022</v>
      </c>
      <c r="C22" s="1" t="s">
        <v>36</v>
      </c>
      <c r="D22" s="1">
        <v>2184.2000000000003</v>
      </c>
      <c r="E22" s="1">
        <v>112.87479254347826</v>
      </c>
      <c r="H22" s="11" t="s">
        <v>34</v>
      </c>
      <c r="I22" s="11">
        <v>2022</v>
      </c>
      <c r="J22" s="11" t="s">
        <v>36</v>
      </c>
      <c r="K22" s="11">
        <v>167.2</v>
      </c>
      <c r="L22" s="11">
        <v>112.87479254347826</v>
      </c>
      <c r="P22" s="11" t="s">
        <v>34</v>
      </c>
      <c r="Q22" s="11">
        <v>2022</v>
      </c>
      <c r="R22" s="11" t="s">
        <v>36</v>
      </c>
      <c r="S22" s="1">
        <v>165.3</v>
      </c>
      <c r="T22" s="11">
        <v>112.87479254347826</v>
      </c>
      <c r="X22" s="11" t="s">
        <v>34</v>
      </c>
      <c r="Y22" s="11">
        <v>2022</v>
      </c>
      <c r="Z22" s="11" t="s">
        <v>36</v>
      </c>
      <c r="AA22" s="1">
        <v>172.1</v>
      </c>
      <c r="AB22" s="11">
        <v>112.87479254347826</v>
      </c>
      <c r="AE22" s="11" t="s">
        <v>34</v>
      </c>
      <c r="AF22" s="11">
        <v>2022</v>
      </c>
      <c r="AG22" s="11" t="s">
        <v>36</v>
      </c>
      <c r="AH22" s="1">
        <v>157.9</v>
      </c>
      <c r="AI22" s="11">
        <v>112.87479254347826</v>
      </c>
    </row>
    <row r="23" spans="1:42" x14ac:dyDescent="0.3">
      <c r="A23" s="1" t="s">
        <v>34</v>
      </c>
      <c r="B23" s="1">
        <v>2022</v>
      </c>
      <c r="C23" s="1" t="s">
        <v>37</v>
      </c>
      <c r="D23" s="1">
        <v>2214.3000000000002</v>
      </c>
      <c r="E23" s="1">
        <v>102.96599786842103</v>
      </c>
      <c r="H23" s="11" t="s">
        <v>34</v>
      </c>
      <c r="I23" s="11">
        <v>2022</v>
      </c>
      <c r="J23" s="11" t="s">
        <v>37</v>
      </c>
      <c r="K23" s="11">
        <v>172.2</v>
      </c>
      <c r="L23" s="11">
        <v>102.96599786842103</v>
      </c>
      <c r="P23" s="11" t="s">
        <v>34</v>
      </c>
      <c r="Q23" s="11">
        <v>2022</v>
      </c>
      <c r="R23" s="11" t="s">
        <v>37</v>
      </c>
      <c r="S23" s="1">
        <v>167</v>
      </c>
      <c r="T23" s="11">
        <v>102.96599786842103</v>
      </c>
      <c r="X23" s="11" t="s">
        <v>34</v>
      </c>
      <c r="Y23" s="11">
        <v>2022</v>
      </c>
      <c r="Z23" s="11" t="s">
        <v>37</v>
      </c>
      <c r="AA23" s="1">
        <v>173.9</v>
      </c>
      <c r="AB23" s="11">
        <v>102.96599786842103</v>
      </c>
      <c r="AE23" s="11" t="s">
        <v>34</v>
      </c>
      <c r="AF23" s="11">
        <v>2022</v>
      </c>
      <c r="AG23" s="11" t="s">
        <v>37</v>
      </c>
      <c r="AH23" s="1">
        <v>162.6</v>
      </c>
      <c r="AI23" s="11">
        <v>102.96599786842103</v>
      </c>
    </row>
    <row r="24" spans="1:42" x14ac:dyDescent="0.3">
      <c r="A24" s="1" t="s">
        <v>34</v>
      </c>
      <c r="B24" s="1">
        <v>2022</v>
      </c>
      <c r="C24" s="1" t="s">
        <v>38</v>
      </c>
      <c r="D24" s="1">
        <v>2238.9000000000005</v>
      </c>
      <c r="E24" s="1">
        <v>109.50503773684208</v>
      </c>
      <c r="H24" s="11" t="s">
        <v>34</v>
      </c>
      <c r="I24" s="11">
        <v>2022</v>
      </c>
      <c r="J24" s="11" t="s">
        <v>38</v>
      </c>
      <c r="K24" s="11">
        <v>174.6</v>
      </c>
      <c r="L24" s="11">
        <v>109.50503773684208</v>
      </c>
      <c r="P24" s="11" t="s">
        <v>34</v>
      </c>
      <c r="Q24" s="11">
        <v>2022</v>
      </c>
      <c r="R24" s="11" t="s">
        <v>38</v>
      </c>
      <c r="S24" s="1">
        <v>167.5</v>
      </c>
      <c r="T24" s="11">
        <v>109.50503773684208</v>
      </c>
      <c r="X24" s="11" t="s">
        <v>34</v>
      </c>
      <c r="Y24" s="11">
        <v>2022</v>
      </c>
      <c r="Z24" s="11" t="s">
        <v>38</v>
      </c>
      <c r="AA24" s="1">
        <v>175.6</v>
      </c>
      <c r="AB24" s="11">
        <v>109.50503773684208</v>
      </c>
      <c r="AE24" s="11" t="s">
        <v>34</v>
      </c>
      <c r="AF24" s="11">
        <v>2022</v>
      </c>
      <c r="AG24" s="11" t="s">
        <v>38</v>
      </c>
      <c r="AH24" s="1">
        <v>163</v>
      </c>
      <c r="AI24" s="11">
        <v>109.50503773684208</v>
      </c>
    </row>
    <row r="25" spans="1:42" x14ac:dyDescent="0.3">
      <c r="A25" s="1" t="s">
        <v>34</v>
      </c>
      <c r="B25" s="1">
        <v>2022</v>
      </c>
      <c r="C25" s="1" t="s">
        <v>39</v>
      </c>
      <c r="D25" s="1">
        <v>2261.9</v>
      </c>
      <c r="E25" s="1">
        <v>116.01138504999999</v>
      </c>
      <c r="H25" s="11" t="s">
        <v>34</v>
      </c>
      <c r="I25" s="11">
        <v>2022</v>
      </c>
      <c r="J25" s="11" t="s">
        <v>39</v>
      </c>
      <c r="K25" s="11">
        <v>176</v>
      </c>
      <c r="L25" s="11">
        <v>116.01138504999999</v>
      </c>
      <c r="P25" s="11" t="s">
        <v>34</v>
      </c>
      <c r="Q25" s="11">
        <v>2022</v>
      </c>
      <c r="R25" s="11" t="s">
        <v>39</v>
      </c>
      <c r="S25" s="1">
        <v>166.8</v>
      </c>
      <c r="T25" s="11">
        <v>116.01138504999999</v>
      </c>
      <c r="X25" s="11" t="s">
        <v>34</v>
      </c>
      <c r="Y25" s="11">
        <v>2022</v>
      </c>
      <c r="Z25" s="11" t="s">
        <v>39</v>
      </c>
      <c r="AA25" s="1">
        <v>177.1</v>
      </c>
      <c r="AB25" s="11">
        <v>116.01138504999999</v>
      </c>
      <c r="AE25" s="11" t="s">
        <v>34</v>
      </c>
      <c r="AF25" s="11">
        <v>2022</v>
      </c>
      <c r="AG25" s="11" t="s">
        <v>39</v>
      </c>
      <c r="AH25" s="1">
        <v>161.1</v>
      </c>
      <c r="AI25" s="11">
        <v>116.01138504999999</v>
      </c>
    </row>
    <row r="26" spans="1:42" x14ac:dyDescent="0.3">
      <c r="A26" s="1" t="s">
        <v>34</v>
      </c>
      <c r="B26" s="1">
        <v>2022</v>
      </c>
      <c r="C26" s="1" t="s">
        <v>40</v>
      </c>
      <c r="D26" s="1">
        <v>2266.3000000000002</v>
      </c>
      <c r="E26" s="1">
        <v>105.49124737500001</v>
      </c>
      <c r="H26" s="11" t="s">
        <v>34</v>
      </c>
      <c r="I26" s="11">
        <v>2022</v>
      </c>
      <c r="J26" s="11" t="s">
        <v>40</v>
      </c>
      <c r="K26" s="11">
        <v>179.6</v>
      </c>
      <c r="L26" s="11">
        <v>105.49124737500001</v>
      </c>
      <c r="P26" s="11" t="s">
        <v>34</v>
      </c>
      <c r="Q26" s="11">
        <v>2022</v>
      </c>
      <c r="R26" s="11" t="s">
        <v>40</v>
      </c>
      <c r="S26" s="1">
        <v>167.8</v>
      </c>
      <c r="T26" s="11">
        <v>105.49124737500001</v>
      </c>
      <c r="X26" s="11" t="s">
        <v>34</v>
      </c>
      <c r="Y26" s="11">
        <v>2022</v>
      </c>
      <c r="Z26" s="11" t="s">
        <v>40</v>
      </c>
      <c r="AA26" s="1">
        <v>178.3</v>
      </c>
      <c r="AB26" s="11">
        <v>105.49124737500001</v>
      </c>
      <c r="AE26" s="11" t="s">
        <v>34</v>
      </c>
      <c r="AF26" s="11">
        <v>2022</v>
      </c>
      <c r="AG26" s="11" t="s">
        <v>40</v>
      </c>
      <c r="AH26" s="1">
        <v>161.6</v>
      </c>
      <c r="AI26" s="11">
        <v>105.49124737500001</v>
      </c>
    </row>
    <row r="27" spans="1:42" x14ac:dyDescent="0.3">
      <c r="A27" s="1" t="s">
        <v>34</v>
      </c>
      <c r="B27" s="1">
        <v>2022</v>
      </c>
      <c r="C27" s="1" t="s">
        <v>41</v>
      </c>
      <c r="D27" s="1">
        <v>2269.2000000000003</v>
      </c>
      <c r="E27" s="1">
        <v>97.404465428571427</v>
      </c>
      <c r="H27" s="11" t="s">
        <v>34</v>
      </c>
      <c r="I27" s="11">
        <v>2022</v>
      </c>
      <c r="J27" s="11" t="s">
        <v>41</v>
      </c>
      <c r="K27" s="11">
        <v>178.8</v>
      </c>
      <c r="L27" s="11">
        <v>97.404465428571427</v>
      </c>
      <c r="P27" s="11" t="s">
        <v>34</v>
      </c>
      <c r="Q27" s="11">
        <v>2022</v>
      </c>
      <c r="R27" s="11" t="s">
        <v>41</v>
      </c>
      <c r="S27" s="1">
        <v>169</v>
      </c>
      <c r="T27" s="11">
        <v>97.404465428571427</v>
      </c>
      <c r="X27" s="11" t="s">
        <v>34</v>
      </c>
      <c r="Y27" s="11">
        <v>2022</v>
      </c>
      <c r="Z27" s="11" t="s">
        <v>41</v>
      </c>
      <c r="AA27" s="1">
        <v>179.5</v>
      </c>
      <c r="AB27" s="11">
        <v>97.404465428571427</v>
      </c>
      <c r="AE27" s="11" t="s">
        <v>34</v>
      </c>
      <c r="AF27" s="11">
        <v>2022</v>
      </c>
      <c r="AG27" s="11" t="s">
        <v>41</v>
      </c>
      <c r="AH27" s="1">
        <v>161.9</v>
      </c>
      <c r="AI27" s="11">
        <v>97.404465428571427</v>
      </c>
    </row>
    <row r="28" spans="1:42" x14ac:dyDescent="0.3">
      <c r="A28" s="1" t="s">
        <v>34</v>
      </c>
      <c r="B28" s="1">
        <v>2022</v>
      </c>
      <c r="C28" s="1" t="s">
        <v>42</v>
      </c>
      <c r="D28" s="1">
        <v>2280.9</v>
      </c>
      <c r="E28" s="1">
        <v>90.706344809523813</v>
      </c>
      <c r="H28" s="11" t="s">
        <v>34</v>
      </c>
      <c r="I28" s="11">
        <v>2022</v>
      </c>
      <c r="J28" s="11" t="s">
        <v>42</v>
      </c>
      <c r="K28" s="11">
        <v>179.5</v>
      </c>
      <c r="L28" s="11">
        <v>90.706344809523813</v>
      </c>
      <c r="P28" s="11" t="s">
        <v>34</v>
      </c>
      <c r="Q28" s="11">
        <v>2022</v>
      </c>
      <c r="R28" s="11" t="s">
        <v>42</v>
      </c>
      <c r="S28" s="1">
        <v>169.5</v>
      </c>
      <c r="T28" s="11">
        <v>90.706344809523813</v>
      </c>
      <c r="X28" s="11" t="s">
        <v>34</v>
      </c>
      <c r="Y28" s="11">
        <v>2022</v>
      </c>
      <c r="Z28" s="11" t="s">
        <v>42</v>
      </c>
      <c r="AA28" s="1">
        <v>180.9</v>
      </c>
      <c r="AB28" s="11">
        <v>90.706344809523813</v>
      </c>
      <c r="AE28" s="11" t="s">
        <v>34</v>
      </c>
      <c r="AF28" s="11">
        <v>2022</v>
      </c>
      <c r="AG28" s="11" t="s">
        <v>42</v>
      </c>
      <c r="AH28" s="1">
        <v>162.30000000000001</v>
      </c>
      <c r="AI28" s="11">
        <v>90.706344809523813</v>
      </c>
    </row>
    <row r="29" spans="1:42" x14ac:dyDescent="0.3">
      <c r="A29" s="1" t="s">
        <v>34</v>
      </c>
      <c r="B29" s="1">
        <v>2022</v>
      </c>
      <c r="C29" s="1" t="s">
        <v>43</v>
      </c>
      <c r="D29" s="1">
        <v>2297.3000000000002</v>
      </c>
      <c r="E29" s="1">
        <v>91.698948700000003</v>
      </c>
      <c r="H29" s="11" t="s">
        <v>34</v>
      </c>
      <c r="I29" s="11">
        <v>2022</v>
      </c>
      <c r="J29" s="11" t="s">
        <v>43</v>
      </c>
      <c r="K29" s="11">
        <v>180.5</v>
      </c>
      <c r="L29" s="11">
        <v>91.698948700000003</v>
      </c>
      <c r="P29" s="11" t="s">
        <v>34</v>
      </c>
      <c r="Q29" s="11">
        <v>2022</v>
      </c>
      <c r="R29" s="11" t="s">
        <v>43</v>
      </c>
      <c r="S29" s="1">
        <v>171.2</v>
      </c>
      <c r="T29" s="11">
        <v>91.698948700000003</v>
      </c>
      <c r="X29" s="11" t="s">
        <v>34</v>
      </c>
      <c r="Y29" s="11">
        <v>2022</v>
      </c>
      <c r="Z29" s="11" t="s">
        <v>43</v>
      </c>
      <c r="AA29" s="1">
        <v>181.9</v>
      </c>
      <c r="AB29" s="11">
        <v>91.698948700000003</v>
      </c>
      <c r="AE29" s="11" t="s">
        <v>34</v>
      </c>
      <c r="AF29" s="11">
        <v>2022</v>
      </c>
      <c r="AG29" s="11" t="s">
        <v>43</v>
      </c>
      <c r="AH29" s="1">
        <v>162.9</v>
      </c>
      <c r="AI29" s="11">
        <v>91.698948700000003</v>
      </c>
    </row>
    <row r="30" spans="1:42" x14ac:dyDescent="0.3">
      <c r="A30" s="1" t="s">
        <v>34</v>
      </c>
      <c r="B30" s="1">
        <v>2022</v>
      </c>
      <c r="C30" s="1" t="s">
        <v>45</v>
      </c>
      <c r="D30" s="1">
        <v>2296.8000000000002</v>
      </c>
      <c r="E30" s="1">
        <v>87.552266068181822</v>
      </c>
      <c r="H30" s="11" t="s">
        <v>34</v>
      </c>
      <c r="I30" s="11">
        <v>2022</v>
      </c>
      <c r="J30" s="11" t="s">
        <v>45</v>
      </c>
      <c r="K30" s="11">
        <v>181.3</v>
      </c>
      <c r="L30" s="11">
        <v>87.552266068181822</v>
      </c>
      <c r="P30" s="11" t="s">
        <v>34</v>
      </c>
      <c r="Q30" s="11">
        <v>2022</v>
      </c>
      <c r="R30" s="11" t="s">
        <v>45</v>
      </c>
      <c r="S30" s="1">
        <v>171.8</v>
      </c>
      <c r="T30" s="11">
        <v>87.552266068181822</v>
      </c>
      <c r="X30" s="11" t="s">
        <v>34</v>
      </c>
      <c r="Y30" s="11">
        <v>2022</v>
      </c>
      <c r="Z30" s="11" t="s">
        <v>45</v>
      </c>
      <c r="AA30" s="1">
        <v>183.1</v>
      </c>
      <c r="AB30" s="11">
        <v>87.552266068181822</v>
      </c>
      <c r="AE30" s="11" t="s">
        <v>34</v>
      </c>
      <c r="AF30" s="11">
        <v>2022</v>
      </c>
      <c r="AG30" s="11" t="s">
        <v>45</v>
      </c>
      <c r="AH30" s="1">
        <v>163</v>
      </c>
      <c r="AI30" s="11">
        <v>87.552266068181822</v>
      </c>
    </row>
    <row r="31" spans="1:42" x14ac:dyDescent="0.3">
      <c r="A31" s="1" t="s">
        <v>34</v>
      </c>
      <c r="B31" s="1">
        <v>2022</v>
      </c>
      <c r="C31" s="1" t="s">
        <v>46</v>
      </c>
      <c r="D31" s="1">
        <v>2283.4</v>
      </c>
      <c r="E31" s="1">
        <v>78.100942275000008</v>
      </c>
      <c r="H31" s="11" t="s">
        <v>34</v>
      </c>
      <c r="I31" s="11">
        <v>2022</v>
      </c>
      <c r="J31" s="11" t="s">
        <v>46</v>
      </c>
      <c r="K31" s="11">
        <v>182</v>
      </c>
      <c r="L31" s="11">
        <v>78.100942275000008</v>
      </c>
      <c r="P31" s="11" t="s">
        <v>34</v>
      </c>
      <c r="Q31" s="11">
        <v>2022</v>
      </c>
      <c r="R31" s="11" t="s">
        <v>46</v>
      </c>
      <c r="S31" s="1">
        <v>170.7</v>
      </c>
      <c r="T31" s="11">
        <v>78.100942275000008</v>
      </c>
      <c r="X31" s="11" t="s">
        <v>34</v>
      </c>
      <c r="Y31" s="11">
        <v>2022</v>
      </c>
      <c r="Z31" s="11" t="s">
        <v>46</v>
      </c>
      <c r="AA31" s="1">
        <v>184</v>
      </c>
      <c r="AB31" s="11">
        <v>78.100942275000008</v>
      </c>
      <c r="AE31" s="11" t="s">
        <v>34</v>
      </c>
      <c r="AF31" s="11">
        <v>2022</v>
      </c>
      <c r="AG31" s="11" t="s">
        <v>46</v>
      </c>
      <c r="AH31" s="1">
        <v>163.4</v>
      </c>
      <c r="AI31" s="11">
        <v>78.100942275000008</v>
      </c>
    </row>
    <row r="32" spans="1:42" x14ac:dyDescent="0.3">
      <c r="A32" s="1" t="s">
        <v>34</v>
      </c>
      <c r="B32" s="1">
        <v>2023</v>
      </c>
      <c r="C32" s="1" t="s">
        <v>31</v>
      </c>
      <c r="D32" s="1">
        <v>2292.6999999999998</v>
      </c>
      <c r="E32" s="1">
        <v>80.922269684210534</v>
      </c>
      <c r="H32" s="11" t="s">
        <v>34</v>
      </c>
      <c r="I32" s="11">
        <v>2023</v>
      </c>
      <c r="J32" s="11" t="s">
        <v>31</v>
      </c>
      <c r="K32" s="11">
        <v>182</v>
      </c>
      <c r="L32" s="11">
        <v>80.922269684210534</v>
      </c>
      <c r="P32" s="11" t="s">
        <v>34</v>
      </c>
      <c r="Q32" s="11">
        <v>2023</v>
      </c>
      <c r="R32" s="11" t="s">
        <v>31</v>
      </c>
      <c r="S32" s="1">
        <v>172.1</v>
      </c>
      <c r="T32" s="11">
        <v>80.922269684210534</v>
      </c>
      <c r="X32" s="11" t="s">
        <v>34</v>
      </c>
      <c r="Y32" s="11">
        <v>2023</v>
      </c>
      <c r="Z32" s="11" t="s">
        <v>31</v>
      </c>
      <c r="AA32" s="1">
        <v>184.9</v>
      </c>
      <c r="AB32" s="11">
        <v>80.922269684210534</v>
      </c>
      <c r="AE32" s="11" t="s">
        <v>34</v>
      </c>
      <c r="AF32" s="11">
        <v>2023</v>
      </c>
      <c r="AG32" s="11" t="s">
        <v>31</v>
      </c>
      <c r="AH32" s="1">
        <v>163.6</v>
      </c>
      <c r="AI32" s="11">
        <v>80.922269684210534</v>
      </c>
    </row>
    <row r="33" spans="1:35" x14ac:dyDescent="0.3">
      <c r="A33" s="1" t="s">
        <v>34</v>
      </c>
      <c r="B33" s="1">
        <v>2023</v>
      </c>
      <c r="C33" s="1" t="s">
        <v>35</v>
      </c>
      <c r="D33" s="1">
        <v>2279.1</v>
      </c>
      <c r="E33" s="1">
        <v>82.278706675000009</v>
      </c>
      <c r="H33" s="11" t="s">
        <v>34</v>
      </c>
      <c r="I33" s="11">
        <v>2023</v>
      </c>
      <c r="J33" s="11" t="s">
        <v>35</v>
      </c>
      <c r="K33" s="11">
        <v>182.1</v>
      </c>
      <c r="L33" s="11">
        <v>82.278706675000009</v>
      </c>
      <c r="P33" s="11" t="s">
        <v>34</v>
      </c>
      <c r="Q33" s="11">
        <v>2023</v>
      </c>
      <c r="R33" s="11" t="s">
        <v>35</v>
      </c>
      <c r="S33" s="1">
        <v>173.5</v>
      </c>
      <c r="T33" s="11">
        <v>82.278706675000009</v>
      </c>
      <c r="X33" s="11" t="s">
        <v>34</v>
      </c>
      <c r="Y33" s="11">
        <v>2023</v>
      </c>
      <c r="Z33" s="11" t="s">
        <v>35</v>
      </c>
      <c r="AA33" s="1">
        <v>186.2</v>
      </c>
      <c r="AB33" s="11">
        <v>82.278706675000009</v>
      </c>
      <c r="AE33" s="11" t="s">
        <v>34</v>
      </c>
      <c r="AF33" s="11">
        <v>2023</v>
      </c>
      <c r="AG33" s="11" t="s">
        <v>35</v>
      </c>
      <c r="AH33" s="1">
        <v>164.2</v>
      </c>
      <c r="AI33" s="11">
        <v>82.278706675000009</v>
      </c>
    </row>
    <row r="34" spans="1:35" x14ac:dyDescent="0.3">
      <c r="A34" s="1" t="s">
        <v>34</v>
      </c>
      <c r="B34" s="1">
        <v>2023</v>
      </c>
      <c r="C34" s="1" t="s">
        <v>36</v>
      </c>
      <c r="D34" s="1">
        <v>2279.1999999999998</v>
      </c>
      <c r="E34" s="1">
        <v>78.539480282608693</v>
      </c>
      <c r="H34" s="11" t="s">
        <v>34</v>
      </c>
      <c r="I34" s="11">
        <v>2023</v>
      </c>
      <c r="J34" s="11" t="s">
        <v>36</v>
      </c>
      <c r="K34" s="11">
        <v>181.9</v>
      </c>
      <c r="L34" s="11">
        <v>78.539480282608693</v>
      </c>
      <c r="P34" s="11" t="s">
        <v>34</v>
      </c>
      <c r="Q34" s="11">
        <v>2023</v>
      </c>
      <c r="R34" s="11" t="s">
        <v>36</v>
      </c>
      <c r="S34" s="1">
        <v>173.5</v>
      </c>
      <c r="T34" s="11">
        <v>78.539480282608693</v>
      </c>
      <c r="X34" s="11" t="s">
        <v>34</v>
      </c>
      <c r="Y34" s="11">
        <v>2023</v>
      </c>
      <c r="Z34" s="11" t="s">
        <v>36</v>
      </c>
      <c r="AA34" s="1">
        <v>186.1</v>
      </c>
      <c r="AB34" s="11">
        <v>78.539480282608693</v>
      </c>
      <c r="AE34" s="11" t="s">
        <v>34</v>
      </c>
      <c r="AF34" s="11">
        <v>2023</v>
      </c>
      <c r="AG34" s="11" t="s">
        <v>36</v>
      </c>
      <c r="AH34" s="1">
        <v>164.2</v>
      </c>
      <c r="AI34" s="11">
        <v>78.539480282608693</v>
      </c>
    </row>
    <row r="35" spans="1:35" x14ac:dyDescent="0.3">
      <c r="A35" s="1" t="s">
        <v>34</v>
      </c>
      <c r="B35" s="1">
        <v>2023</v>
      </c>
      <c r="C35" s="1" t="s">
        <v>37</v>
      </c>
      <c r="D35" s="1">
        <v>2289.6000000000004</v>
      </c>
      <c r="E35" s="1">
        <v>83.755358416666667</v>
      </c>
      <c r="H35" s="11" t="s">
        <v>34</v>
      </c>
      <c r="I35" s="11">
        <v>2023</v>
      </c>
      <c r="J35" s="11" t="s">
        <v>37</v>
      </c>
      <c r="K35" s="11">
        <v>181.7</v>
      </c>
      <c r="L35" s="11">
        <v>83.755358416666667</v>
      </c>
      <c r="P35" s="11" t="s">
        <v>34</v>
      </c>
      <c r="Q35" s="11">
        <v>2023</v>
      </c>
      <c r="R35" s="11" t="s">
        <v>37</v>
      </c>
      <c r="S35" s="1">
        <v>175.2</v>
      </c>
      <c r="T35" s="11">
        <v>83.755358416666667</v>
      </c>
      <c r="X35" s="11" t="s">
        <v>34</v>
      </c>
      <c r="Y35" s="11">
        <v>2023</v>
      </c>
      <c r="Z35" s="11" t="s">
        <v>37</v>
      </c>
      <c r="AA35" s="1">
        <v>186.9</v>
      </c>
      <c r="AB35" s="11">
        <v>83.755358416666667</v>
      </c>
      <c r="AE35" s="11" t="s">
        <v>34</v>
      </c>
      <c r="AF35" s="11">
        <v>2023</v>
      </c>
      <c r="AG35" s="11" t="s">
        <v>37</v>
      </c>
      <c r="AH35" s="1">
        <v>164.5</v>
      </c>
      <c r="AI35" s="11">
        <v>83.755358416666667</v>
      </c>
    </row>
    <row r="36" spans="1:35" x14ac:dyDescent="0.3">
      <c r="A36" s="1" t="s">
        <v>34</v>
      </c>
      <c r="B36" s="1">
        <v>2023</v>
      </c>
      <c r="C36" s="1" t="s">
        <v>38</v>
      </c>
      <c r="D36" s="1">
        <v>2306.9</v>
      </c>
      <c r="E36" s="1">
        <v>74.981547824999993</v>
      </c>
      <c r="H36" s="11" t="s">
        <v>34</v>
      </c>
      <c r="I36" s="11">
        <v>2023</v>
      </c>
      <c r="J36" s="11" t="s">
        <v>38</v>
      </c>
      <c r="K36" s="11">
        <v>182.8</v>
      </c>
      <c r="L36" s="11">
        <v>74.981547824999993</v>
      </c>
      <c r="P36" s="11" t="s">
        <v>34</v>
      </c>
      <c r="Q36" s="11">
        <v>2023</v>
      </c>
      <c r="R36" s="11" t="s">
        <v>38</v>
      </c>
      <c r="S36" s="1">
        <v>175.6</v>
      </c>
      <c r="T36" s="11">
        <v>74.981547824999993</v>
      </c>
      <c r="X36" s="11" t="s">
        <v>34</v>
      </c>
      <c r="Y36" s="11">
        <v>2023</v>
      </c>
      <c r="Z36" s="11" t="s">
        <v>38</v>
      </c>
      <c r="AA36" s="1">
        <v>187.3</v>
      </c>
      <c r="AB36" s="11">
        <v>74.981547824999993</v>
      </c>
      <c r="AE36" s="11" t="s">
        <v>34</v>
      </c>
      <c r="AF36" s="11">
        <v>2023</v>
      </c>
      <c r="AG36" s="11" t="s">
        <v>38</v>
      </c>
      <c r="AH36" s="1">
        <v>164.8</v>
      </c>
      <c r="AI36" s="11">
        <v>74.981547824999993</v>
      </c>
    </row>
    <row r="38" spans="1:35" ht="26.4" customHeight="1" x14ac:dyDescent="0.3">
      <c r="A38" s="77" t="s">
        <v>93</v>
      </c>
      <c r="B38" s="77"/>
      <c r="C38" s="77"/>
      <c r="D38" s="77"/>
      <c r="E38" s="77"/>
      <c r="F38" s="77"/>
    </row>
    <row r="40" spans="1:35" x14ac:dyDescent="0.3">
      <c r="A40" s="5" t="s">
        <v>0</v>
      </c>
      <c r="B40" s="5" t="s">
        <v>1</v>
      </c>
      <c r="C40" s="5" t="s">
        <v>2</v>
      </c>
      <c r="D40" s="5" t="s">
        <v>29</v>
      </c>
      <c r="E40" s="5" t="s">
        <v>66</v>
      </c>
    </row>
    <row r="41" spans="1:35" x14ac:dyDescent="0.3">
      <c r="A41" s="1" t="s">
        <v>30</v>
      </c>
      <c r="B41" s="1">
        <v>2021</v>
      </c>
      <c r="C41" s="1" t="s">
        <v>31</v>
      </c>
      <c r="D41" s="1">
        <v>157.30000000000001</v>
      </c>
      <c r="E41" s="1">
        <v>54.794569624999994</v>
      </c>
    </row>
    <row r="42" spans="1:35" x14ac:dyDescent="0.3">
      <c r="A42" s="1" t="s">
        <v>30</v>
      </c>
      <c r="B42" s="1">
        <v>2021</v>
      </c>
      <c r="C42" s="1" t="s">
        <v>35</v>
      </c>
      <c r="D42" s="1">
        <v>156.6</v>
      </c>
      <c r="E42" s="1">
        <v>61.216117289473672</v>
      </c>
    </row>
    <row r="43" spans="1:35" x14ac:dyDescent="0.3">
      <c r="A43" s="1" t="s">
        <v>30</v>
      </c>
      <c r="B43" s="1">
        <v>2021</v>
      </c>
      <c r="C43" s="1" t="s">
        <v>36</v>
      </c>
      <c r="D43" s="1">
        <v>156.80000000000001</v>
      </c>
      <c r="E43" s="1">
        <v>64.729496782608663</v>
      </c>
    </row>
    <row r="44" spans="1:35" x14ac:dyDescent="0.3">
      <c r="A44" s="1" t="s">
        <v>30</v>
      </c>
      <c r="B44" s="1">
        <v>2021</v>
      </c>
      <c r="C44" s="1" t="s">
        <v>37</v>
      </c>
      <c r="D44" s="1">
        <v>157.80000000000001</v>
      </c>
      <c r="E44" s="1">
        <v>63.396976500000008</v>
      </c>
    </row>
    <row r="45" spans="1:35" x14ac:dyDescent="0.3">
      <c r="A45" s="1" t="s">
        <v>30</v>
      </c>
      <c r="B45" s="1">
        <v>2021</v>
      </c>
      <c r="C45" s="1" t="s">
        <v>38</v>
      </c>
      <c r="D45" s="1">
        <v>160.4</v>
      </c>
      <c r="E45" s="1">
        <v>66.953084852941174</v>
      </c>
    </row>
    <row r="46" spans="1:35" x14ac:dyDescent="0.3">
      <c r="A46" s="1" t="s">
        <v>30</v>
      </c>
      <c r="B46" s="1">
        <v>2021</v>
      </c>
      <c r="C46" s="1" t="s">
        <v>39</v>
      </c>
      <c r="D46" s="1">
        <v>161.30000000000001</v>
      </c>
      <c r="E46" s="1">
        <v>71.982647477272721</v>
      </c>
    </row>
    <row r="47" spans="1:35" x14ac:dyDescent="0.3">
      <c r="A47" s="1" t="s">
        <v>30</v>
      </c>
      <c r="B47" s="1">
        <v>2021</v>
      </c>
      <c r="C47" s="1" t="s">
        <v>40</v>
      </c>
      <c r="D47" s="1">
        <v>162.5</v>
      </c>
      <c r="E47" s="1">
        <v>73.539060523809511</v>
      </c>
    </row>
    <row r="48" spans="1:35" x14ac:dyDescent="0.3">
      <c r="A48" s="1" t="s">
        <v>30</v>
      </c>
      <c r="B48" s="1">
        <v>2021</v>
      </c>
      <c r="C48" s="1" t="s">
        <v>41</v>
      </c>
      <c r="D48" s="1">
        <v>163.19999999999999</v>
      </c>
      <c r="E48" s="1">
        <v>69.804724424999989</v>
      </c>
    </row>
    <row r="49" spans="1:5" x14ac:dyDescent="0.3">
      <c r="A49" s="1" t="s">
        <v>30</v>
      </c>
      <c r="B49" s="1">
        <v>2021</v>
      </c>
      <c r="C49" s="1" t="s">
        <v>42</v>
      </c>
      <c r="D49" s="1">
        <v>163.19999999999999</v>
      </c>
      <c r="E49" s="1">
        <v>73.130738295454549</v>
      </c>
    </row>
    <row r="50" spans="1:5" x14ac:dyDescent="0.3">
      <c r="A50" s="1" t="s">
        <v>30</v>
      </c>
      <c r="B50" s="1">
        <v>2021</v>
      </c>
      <c r="C50" s="1" t="s">
        <v>43</v>
      </c>
      <c r="D50" s="1">
        <v>165.5</v>
      </c>
      <c r="E50" s="1">
        <v>82.107393785714294</v>
      </c>
    </row>
    <row r="51" spans="1:5" x14ac:dyDescent="0.3">
      <c r="A51" s="1" t="s">
        <v>30</v>
      </c>
      <c r="B51" s="1">
        <v>2021</v>
      </c>
      <c r="C51" s="1" t="s">
        <v>45</v>
      </c>
      <c r="D51" s="1">
        <v>166.7</v>
      </c>
      <c r="E51" s="1">
        <v>80.637301023809528</v>
      </c>
    </row>
    <row r="52" spans="1:5" x14ac:dyDescent="0.3">
      <c r="A52" s="1" t="s">
        <v>30</v>
      </c>
      <c r="B52" s="1">
        <v>2021</v>
      </c>
      <c r="C52" s="1" t="s">
        <v>46</v>
      </c>
      <c r="D52" s="1">
        <v>166.2</v>
      </c>
      <c r="E52" s="1">
        <v>73.298823523809531</v>
      </c>
    </row>
    <row r="53" spans="1:5" x14ac:dyDescent="0.3">
      <c r="A53" s="1" t="s">
        <v>30</v>
      </c>
      <c r="B53" s="1">
        <v>2022</v>
      </c>
      <c r="C53" s="1" t="s">
        <v>31</v>
      </c>
      <c r="D53" s="1">
        <v>165.7</v>
      </c>
      <c r="E53" s="1">
        <v>84.666318799999985</v>
      </c>
    </row>
    <row r="54" spans="1:5" x14ac:dyDescent="0.3">
      <c r="A54" s="1" t="s">
        <v>30</v>
      </c>
      <c r="B54" s="1">
        <v>2022</v>
      </c>
      <c r="C54" s="1" t="s">
        <v>35</v>
      </c>
      <c r="D54" s="1">
        <v>166.1</v>
      </c>
      <c r="E54" s="1">
        <v>94.067715194444446</v>
      </c>
    </row>
    <row r="55" spans="1:5" x14ac:dyDescent="0.3">
      <c r="A55" s="1" t="s">
        <v>30</v>
      </c>
      <c r="B55" s="1">
        <v>2022</v>
      </c>
      <c r="C55" s="1" t="s">
        <v>36</v>
      </c>
      <c r="D55" s="1">
        <v>167.7</v>
      </c>
      <c r="E55" s="1">
        <v>112.87479254347826</v>
      </c>
    </row>
    <row r="56" spans="1:5" x14ac:dyDescent="0.3">
      <c r="A56" s="1" t="s">
        <v>30</v>
      </c>
      <c r="B56" s="1">
        <v>2022</v>
      </c>
      <c r="C56" s="1" t="s">
        <v>37</v>
      </c>
      <c r="D56" s="1">
        <v>170.1</v>
      </c>
      <c r="E56" s="1">
        <v>102.96599786842103</v>
      </c>
    </row>
    <row r="57" spans="1:5" x14ac:dyDescent="0.3">
      <c r="A57" s="1" t="s">
        <v>30</v>
      </c>
      <c r="B57" s="1">
        <v>2022</v>
      </c>
      <c r="C57" s="1" t="s">
        <v>38</v>
      </c>
      <c r="D57" s="1">
        <v>171.7</v>
      </c>
      <c r="E57" s="1">
        <v>109.50503773684208</v>
      </c>
    </row>
    <row r="58" spans="1:5" x14ac:dyDescent="0.3">
      <c r="A58" s="1" t="s">
        <v>30</v>
      </c>
      <c r="B58" s="1">
        <v>2022</v>
      </c>
      <c r="C58" s="1" t="s">
        <v>39</v>
      </c>
      <c r="D58" s="1">
        <v>172.6</v>
      </c>
      <c r="E58" s="1">
        <v>116.01138504999999</v>
      </c>
    </row>
    <row r="59" spans="1:5" x14ac:dyDescent="0.3">
      <c r="A59" s="1" t="s">
        <v>30</v>
      </c>
      <c r="B59" s="1">
        <v>2022</v>
      </c>
      <c r="C59" s="1" t="s">
        <v>40</v>
      </c>
      <c r="D59" s="1">
        <v>173.4</v>
      </c>
      <c r="E59" s="1">
        <v>105.49124737500001</v>
      </c>
    </row>
    <row r="60" spans="1:5" x14ac:dyDescent="0.3">
      <c r="A60" s="1" t="s">
        <v>30</v>
      </c>
      <c r="B60" s="1">
        <v>2022</v>
      </c>
      <c r="C60" s="1" t="s">
        <v>41</v>
      </c>
      <c r="D60" s="1">
        <v>174.3</v>
      </c>
      <c r="E60" s="1">
        <v>97.404465428571427</v>
      </c>
    </row>
    <row r="61" spans="1:5" x14ac:dyDescent="0.3">
      <c r="A61" s="1" t="s">
        <v>30</v>
      </c>
      <c r="B61" s="1">
        <v>2022</v>
      </c>
      <c r="C61" s="1" t="s">
        <v>42</v>
      </c>
      <c r="D61" s="1">
        <v>175.3</v>
      </c>
      <c r="E61" s="1">
        <v>90.706344809523813</v>
      </c>
    </row>
    <row r="62" spans="1:5" x14ac:dyDescent="0.3">
      <c r="A62" s="1" t="s">
        <v>30</v>
      </c>
      <c r="B62" s="1">
        <v>2022</v>
      </c>
      <c r="C62" s="1" t="s">
        <v>43</v>
      </c>
      <c r="D62" s="1">
        <v>176.7</v>
      </c>
      <c r="E62" s="1">
        <v>91.698948700000003</v>
      </c>
    </row>
    <row r="63" spans="1:5" x14ac:dyDescent="0.3">
      <c r="A63" s="1" t="s">
        <v>30</v>
      </c>
      <c r="B63" s="1">
        <v>2022</v>
      </c>
      <c r="C63" s="1" t="s">
        <v>45</v>
      </c>
      <c r="D63" s="1">
        <v>176.5</v>
      </c>
      <c r="E63" s="1">
        <v>87.552266068181822</v>
      </c>
    </row>
    <row r="64" spans="1:5" x14ac:dyDescent="0.3">
      <c r="A64" s="1" t="s">
        <v>30</v>
      </c>
      <c r="B64" s="1">
        <v>2022</v>
      </c>
      <c r="C64" s="1" t="s">
        <v>46</v>
      </c>
      <c r="D64" s="1">
        <v>175.7</v>
      </c>
      <c r="E64" s="1">
        <v>78.100942275000008</v>
      </c>
    </row>
    <row r="65" spans="1:6" x14ac:dyDescent="0.3">
      <c r="A65" s="1" t="s">
        <v>30</v>
      </c>
      <c r="B65" s="1">
        <v>2023</v>
      </c>
      <c r="C65" s="1" t="s">
        <v>31</v>
      </c>
      <c r="D65" s="1">
        <v>176.5</v>
      </c>
      <c r="E65" s="1">
        <v>80.922269684210534</v>
      </c>
    </row>
    <row r="66" spans="1:6" x14ac:dyDescent="0.3">
      <c r="A66" s="1" t="s">
        <v>30</v>
      </c>
      <c r="B66" s="1">
        <v>2023</v>
      </c>
      <c r="C66" s="1" t="s">
        <v>35</v>
      </c>
      <c r="D66" s="1">
        <v>177.2</v>
      </c>
      <c r="E66" s="1">
        <v>82.278706675000009</v>
      </c>
    </row>
    <row r="67" spans="1:6" x14ac:dyDescent="0.3">
      <c r="A67" s="1" t="s">
        <v>30</v>
      </c>
      <c r="B67" s="1">
        <v>2023</v>
      </c>
      <c r="C67" s="1" t="s">
        <v>36</v>
      </c>
      <c r="D67" s="1">
        <v>177.2</v>
      </c>
      <c r="E67" s="1">
        <v>78.539480282608693</v>
      </c>
    </row>
    <row r="68" spans="1:6" x14ac:dyDescent="0.3">
      <c r="A68" s="1" t="s">
        <v>30</v>
      </c>
      <c r="B68" s="1">
        <v>2023</v>
      </c>
      <c r="C68" s="1" t="s">
        <v>37</v>
      </c>
      <c r="D68" s="1">
        <v>178.1</v>
      </c>
      <c r="E68" s="1">
        <v>83.755358416666667</v>
      </c>
    </row>
    <row r="69" spans="1:6" x14ac:dyDescent="0.3">
      <c r="A69" s="1" t="s">
        <v>30</v>
      </c>
      <c r="B69" s="1">
        <v>2023</v>
      </c>
      <c r="C69" s="1" t="s">
        <v>38</v>
      </c>
      <c r="D69" s="1">
        <v>179.1</v>
      </c>
      <c r="E69" s="1">
        <v>74.981547824999993</v>
      </c>
    </row>
    <row r="73" spans="1:6" x14ac:dyDescent="0.3">
      <c r="A73" s="67" t="s">
        <v>94</v>
      </c>
      <c r="B73" s="67"/>
      <c r="C73" s="67"/>
      <c r="D73" s="67"/>
      <c r="E73" s="67"/>
      <c r="F73" s="67"/>
    </row>
    <row r="75" spans="1:6" x14ac:dyDescent="0.3">
      <c r="A75" s="5" t="s">
        <v>0</v>
      </c>
      <c r="B75" s="5" t="s">
        <v>1</v>
      </c>
      <c r="C75" s="5" t="s">
        <v>2</v>
      </c>
      <c r="D75" s="5" t="s">
        <v>29</v>
      </c>
      <c r="E75" s="5" t="s">
        <v>66</v>
      </c>
    </row>
    <row r="76" spans="1:6" x14ac:dyDescent="0.3">
      <c r="A76" s="1" t="s">
        <v>30</v>
      </c>
      <c r="B76" s="1">
        <v>2021</v>
      </c>
      <c r="C76" s="1" t="s">
        <v>31</v>
      </c>
      <c r="D76" s="1">
        <v>156</v>
      </c>
      <c r="E76" s="1">
        <v>54.794569624999994</v>
      </c>
    </row>
    <row r="77" spans="1:6" x14ac:dyDescent="0.3">
      <c r="A77" s="1" t="s">
        <v>30</v>
      </c>
      <c r="B77" s="1">
        <v>2021</v>
      </c>
      <c r="C77" s="1" t="s">
        <v>35</v>
      </c>
      <c r="D77" s="1">
        <v>156.5</v>
      </c>
      <c r="E77" s="1">
        <v>61.216117289473672</v>
      </c>
    </row>
    <row r="78" spans="1:6" x14ac:dyDescent="0.3">
      <c r="A78" s="1" t="s">
        <v>30</v>
      </c>
      <c r="B78" s="1">
        <v>2021</v>
      </c>
      <c r="C78" s="1" t="s">
        <v>36</v>
      </c>
      <c r="D78" s="1">
        <v>156.9</v>
      </c>
      <c r="E78" s="1">
        <v>64.729496782608663</v>
      </c>
    </row>
    <row r="79" spans="1:6" x14ac:dyDescent="0.3">
      <c r="A79" s="1" t="s">
        <v>30</v>
      </c>
      <c r="B79" s="1">
        <v>2021</v>
      </c>
      <c r="C79" s="1" t="s">
        <v>37</v>
      </c>
      <c r="D79" s="1">
        <v>158</v>
      </c>
      <c r="E79" s="1">
        <v>63.396976500000008</v>
      </c>
    </row>
    <row r="80" spans="1:6" x14ac:dyDescent="0.3">
      <c r="A80" s="1" t="s">
        <v>30</v>
      </c>
      <c r="B80" s="1">
        <v>2021</v>
      </c>
      <c r="C80" s="1" t="s">
        <v>38</v>
      </c>
      <c r="D80" s="1">
        <v>159.5</v>
      </c>
      <c r="E80" s="1">
        <v>66.953084852941174</v>
      </c>
    </row>
    <row r="81" spans="1:5" x14ac:dyDescent="0.3">
      <c r="A81" s="1" t="s">
        <v>30</v>
      </c>
      <c r="B81" s="1">
        <v>2021</v>
      </c>
      <c r="C81" s="1" t="s">
        <v>39</v>
      </c>
      <c r="D81" s="1">
        <v>160.4</v>
      </c>
      <c r="E81" s="1">
        <v>71.982647477272721</v>
      </c>
    </row>
    <row r="82" spans="1:5" x14ac:dyDescent="0.3">
      <c r="A82" s="1" t="s">
        <v>30</v>
      </c>
      <c r="B82" s="1">
        <v>2021</v>
      </c>
      <c r="C82" s="1" t="s">
        <v>40</v>
      </c>
      <c r="D82" s="1">
        <v>161.80000000000001</v>
      </c>
      <c r="E82" s="1">
        <v>73.539060523809511</v>
      </c>
    </row>
    <row r="83" spans="1:5" x14ac:dyDescent="0.3">
      <c r="A83" s="1" t="s">
        <v>30</v>
      </c>
      <c r="B83" s="1">
        <v>2021</v>
      </c>
      <c r="C83" s="1" t="s">
        <v>41</v>
      </c>
      <c r="D83" s="1">
        <v>162.30000000000001</v>
      </c>
      <c r="E83" s="1">
        <v>69.804724424999989</v>
      </c>
    </row>
    <row r="84" spans="1:5" x14ac:dyDescent="0.3">
      <c r="A84" s="1" t="s">
        <v>30</v>
      </c>
      <c r="B84" s="1">
        <v>2021</v>
      </c>
      <c r="C84" s="1" t="s">
        <v>42</v>
      </c>
      <c r="D84" s="1">
        <v>162.30000000000001</v>
      </c>
      <c r="E84" s="1">
        <v>73.130738295454549</v>
      </c>
    </row>
    <row r="85" spans="1:5" x14ac:dyDescent="0.3">
      <c r="A85" s="1" t="s">
        <v>30</v>
      </c>
      <c r="B85" s="1">
        <v>2021</v>
      </c>
      <c r="C85" s="1" t="s">
        <v>43</v>
      </c>
      <c r="D85" s="1">
        <v>164.6</v>
      </c>
      <c r="E85" s="1">
        <v>82.107393785714294</v>
      </c>
    </row>
    <row r="86" spans="1:5" x14ac:dyDescent="0.3">
      <c r="A86" s="1" t="s">
        <v>30</v>
      </c>
      <c r="B86" s="1">
        <v>2021</v>
      </c>
      <c r="C86" s="1" t="s">
        <v>45</v>
      </c>
      <c r="D86" s="1">
        <v>165.6</v>
      </c>
      <c r="E86" s="1">
        <v>80.637301023809528</v>
      </c>
    </row>
    <row r="87" spans="1:5" x14ac:dyDescent="0.3">
      <c r="A87" s="1" t="s">
        <v>30</v>
      </c>
      <c r="B87" s="1">
        <v>2021</v>
      </c>
      <c r="C87" s="1" t="s">
        <v>46</v>
      </c>
      <c r="D87" s="1">
        <v>165.2</v>
      </c>
      <c r="E87" s="1">
        <v>73.298823523809531</v>
      </c>
    </row>
    <row r="88" spans="1:5" x14ac:dyDescent="0.3">
      <c r="A88" s="1" t="s">
        <v>30</v>
      </c>
      <c r="B88" s="1">
        <v>2022</v>
      </c>
      <c r="C88" s="1" t="s">
        <v>31</v>
      </c>
      <c r="D88" s="1">
        <v>165</v>
      </c>
      <c r="E88" s="1">
        <v>84.666318799999985</v>
      </c>
    </row>
    <row r="89" spans="1:5" x14ac:dyDescent="0.3">
      <c r="A89" s="1" t="s">
        <v>30</v>
      </c>
      <c r="B89" s="1">
        <v>2022</v>
      </c>
      <c r="C89" s="1" t="s">
        <v>35</v>
      </c>
      <c r="D89" s="1">
        <v>165.5</v>
      </c>
      <c r="E89" s="1">
        <v>94.067715194444446</v>
      </c>
    </row>
    <row r="90" spans="1:5" x14ac:dyDescent="0.3">
      <c r="A90" s="1" t="s">
        <v>30</v>
      </c>
      <c r="B90" s="1">
        <v>2022</v>
      </c>
      <c r="C90" s="1" t="s">
        <v>36</v>
      </c>
      <c r="D90" s="1">
        <v>166.5</v>
      </c>
      <c r="E90" s="1">
        <v>112.87479254347826</v>
      </c>
    </row>
    <row r="91" spans="1:5" x14ac:dyDescent="0.3">
      <c r="A91" s="1" t="s">
        <v>30</v>
      </c>
      <c r="B91" s="1">
        <v>2022</v>
      </c>
      <c r="C91" s="1" t="s">
        <v>37</v>
      </c>
      <c r="D91" s="1">
        <v>169.2</v>
      </c>
      <c r="E91" s="1">
        <v>102.96599786842103</v>
      </c>
    </row>
    <row r="92" spans="1:5" x14ac:dyDescent="0.3">
      <c r="A92" s="1" t="s">
        <v>30</v>
      </c>
      <c r="B92" s="1">
        <v>2022</v>
      </c>
      <c r="C92" s="1" t="s">
        <v>38</v>
      </c>
      <c r="D92" s="1">
        <v>170.8</v>
      </c>
      <c r="E92" s="1">
        <v>109.50503773684208</v>
      </c>
    </row>
    <row r="93" spans="1:5" x14ac:dyDescent="0.3">
      <c r="A93" s="1" t="s">
        <v>30</v>
      </c>
      <c r="B93" s="1">
        <v>2022</v>
      </c>
      <c r="C93" s="1" t="s">
        <v>39</v>
      </c>
      <c r="D93" s="1">
        <v>171.4</v>
      </c>
      <c r="E93" s="1">
        <v>116.01138504999999</v>
      </c>
    </row>
    <row r="94" spans="1:5" x14ac:dyDescent="0.3">
      <c r="A94" s="1" t="s">
        <v>30</v>
      </c>
      <c r="B94" s="1">
        <v>2022</v>
      </c>
      <c r="C94" s="1" t="s">
        <v>40</v>
      </c>
      <c r="D94" s="1">
        <v>172.3</v>
      </c>
      <c r="E94" s="1">
        <v>105.49124737500001</v>
      </c>
    </row>
    <row r="95" spans="1:5" x14ac:dyDescent="0.3">
      <c r="A95" s="1" t="s">
        <v>30</v>
      </c>
      <c r="B95" s="1">
        <v>2022</v>
      </c>
      <c r="C95" s="1" t="s">
        <v>41</v>
      </c>
      <c r="D95" s="1">
        <v>173.1</v>
      </c>
      <c r="E95" s="1">
        <v>97.404465428571427</v>
      </c>
    </row>
    <row r="96" spans="1:5" x14ac:dyDescent="0.3">
      <c r="A96" s="1" t="s">
        <v>30</v>
      </c>
      <c r="B96" s="1">
        <v>2022</v>
      </c>
      <c r="C96" s="1" t="s">
        <v>42</v>
      </c>
      <c r="D96" s="1">
        <v>174.1</v>
      </c>
      <c r="E96" s="1">
        <v>90.706344809523813</v>
      </c>
    </row>
    <row r="97" spans="1:5" x14ac:dyDescent="0.3">
      <c r="A97" s="1" t="s">
        <v>30</v>
      </c>
      <c r="B97" s="1">
        <v>2022</v>
      </c>
      <c r="C97" s="1" t="s">
        <v>43</v>
      </c>
      <c r="D97" s="1">
        <v>175.3</v>
      </c>
      <c r="E97" s="1">
        <v>91.698948700000003</v>
      </c>
    </row>
    <row r="98" spans="1:5" x14ac:dyDescent="0.3">
      <c r="A98" s="1" t="s">
        <v>30</v>
      </c>
      <c r="B98" s="1">
        <v>2022</v>
      </c>
      <c r="C98" s="1" t="s">
        <v>45</v>
      </c>
      <c r="D98" s="1">
        <v>174.1</v>
      </c>
      <c r="E98" s="1">
        <v>87.552266068181822</v>
      </c>
    </row>
    <row r="99" spans="1:5" x14ac:dyDescent="0.3">
      <c r="A99" s="1" t="s">
        <v>30</v>
      </c>
      <c r="B99" s="1">
        <v>2022</v>
      </c>
      <c r="C99" s="1" t="s">
        <v>46</v>
      </c>
      <c r="D99" s="1">
        <v>174.1</v>
      </c>
      <c r="E99" s="1">
        <v>78.100942275000008</v>
      </c>
    </row>
    <row r="100" spans="1:5" x14ac:dyDescent="0.3">
      <c r="A100" s="1" t="s">
        <v>30</v>
      </c>
      <c r="B100" s="1">
        <v>2023</v>
      </c>
      <c r="C100" s="1" t="s">
        <v>31</v>
      </c>
      <c r="D100" s="1">
        <v>174.9</v>
      </c>
      <c r="E100" s="1">
        <v>80.922269684210534</v>
      </c>
    </row>
    <row r="101" spans="1:5" x14ac:dyDescent="0.3">
      <c r="A101" s="1" t="s">
        <v>30</v>
      </c>
      <c r="B101" s="1">
        <v>2023</v>
      </c>
      <c r="C101" s="1" t="s">
        <v>35</v>
      </c>
      <c r="D101" s="1">
        <v>176.3</v>
      </c>
      <c r="E101" s="1">
        <v>82.278706675000009</v>
      </c>
    </row>
    <row r="102" spans="1:5" x14ac:dyDescent="0.3">
      <c r="A102" s="1" t="s">
        <v>30</v>
      </c>
      <c r="B102" s="1">
        <v>2023</v>
      </c>
      <c r="C102" s="1" t="s">
        <v>36</v>
      </c>
      <c r="D102" s="1">
        <v>176.3</v>
      </c>
      <c r="E102" s="1">
        <v>78.539480282608693</v>
      </c>
    </row>
    <row r="103" spans="1:5" x14ac:dyDescent="0.3">
      <c r="A103" s="1" t="s">
        <v>30</v>
      </c>
      <c r="B103" s="1">
        <v>2023</v>
      </c>
      <c r="C103" s="1" t="s">
        <v>37</v>
      </c>
      <c r="D103" s="1">
        <v>177.4</v>
      </c>
      <c r="E103" s="1">
        <v>83.755358416666667</v>
      </c>
    </row>
    <row r="104" spans="1:5" x14ac:dyDescent="0.3">
      <c r="A104" s="1" t="s">
        <v>30</v>
      </c>
      <c r="B104" s="1">
        <v>2023</v>
      </c>
      <c r="C104" s="1" t="s">
        <v>38</v>
      </c>
      <c r="D104" s="1">
        <v>178.2</v>
      </c>
      <c r="E104" s="1">
        <v>74.981547824999993</v>
      </c>
    </row>
  </sheetData>
  <mergeCells count="6">
    <mergeCell ref="A2:F3"/>
    <mergeCell ref="AK13:AL13"/>
    <mergeCell ref="AK14:AP18"/>
    <mergeCell ref="A38:F38"/>
    <mergeCell ref="A73:F73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All_India_Index_Upto_April23 (1</vt:lpstr>
      <vt:lpstr>P1 Analysis</vt:lpstr>
      <vt:lpstr>P2 Analysis</vt:lpstr>
      <vt:lpstr>P3 Analysis</vt:lpstr>
      <vt:lpstr>P4 Analysis</vt:lpstr>
      <vt:lpstr>P5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Panjla</dc:creator>
  <cp:lastModifiedBy>Ritik Panjla</cp:lastModifiedBy>
  <dcterms:created xsi:type="dcterms:W3CDTF">2026-03-15T14:16:07Z</dcterms:created>
  <dcterms:modified xsi:type="dcterms:W3CDTF">2026-10-10T06:55:03Z</dcterms:modified>
</cp:coreProperties>
</file>